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ata Analyst\50 Days Coding Challenge\Day 3\Day 3\"/>
    </mc:Choice>
  </mc:AlternateContent>
  <xr:revisionPtr revIDLastSave="0" documentId="13_ncr:1_{847DE541-1125-4B84-9719-110CD035C43C}" xr6:coauthVersionLast="47" xr6:coauthVersionMax="47" xr10:uidLastSave="{00000000-0000-0000-0000-000000000000}"/>
  <bookViews>
    <workbookView xWindow="-108" yWindow="-108" windowWidth="23256" windowHeight="12456" xr2:uid="{00000000-000D-0000-FFFF-FFFF00000000}"/>
  </bookViews>
  <sheets>
    <sheet name="Original Dataset" sheetId="1" r:id="rId1"/>
    <sheet name="Data " sheetId="2" r:id="rId2"/>
    <sheet name="Data Cleaning" sheetId="4" r:id="rId3"/>
    <sheet name="Analysis" sheetId="5" r:id="rId4"/>
    <sheet name="Visualization" sheetId="12" r:id="rId5"/>
    <sheet name="Summary" sheetId="15" r:id="rId6"/>
  </sheets>
  <definedNames>
    <definedName name="Region_List">#REF!</definedName>
    <definedName name="Slicer_Gender">#N/A</definedName>
    <definedName name="Slicer_Health_Status">#N/A</definedName>
  </definedNames>
  <calcPr calcId="191029"/>
  <extLst>
    <ext xmlns:x14="http://schemas.microsoft.com/office/spreadsheetml/2009/9/main" uri="{876F7934-8845-4945-9796-88D515C7AA90}">
      <x14:pivotCaches>
        <pivotCache cacheId="28"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s="1"/>
  <c r="M3" i="2" a="1"/>
  <c r="M3" i="2" s="1"/>
  <c r="M4" i="2" a="1"/>
  <c r="M4" i="2"/>
  <c r="M5" i="2" a="1"/>
  <c r="M5" i="2" s="1"/>
  <c r="M6" i="2" a="1"/>
  <c r="M6" i="2" s="1"/>
  <c r="M7" i="2" a="1"/>
  <c r="M7" i="2" s="1"/>
  <c r="M8" i="2" a="1"/>
  <c r="M8" i="2" s="1"/>
  <c r="M9" i="2" a="1"/>
  <c r="M9" i="2"/>
  <c r="M10" i="2" a="1"/>
  <c r="M10" i="2"/>
  <c r="M11" i="2" a="1"/>
  <c r="M11" i="2" s="1"/>
  <c r="M12" i="2" a="1"/>
  <c r="M12" i="2" s="1"/>
  <c r="M13" i="2" a="1"/>
  <c r="M13" i="2" s="1"/>
  <c r="M14" i="2" a="1"/>
  <c r="M14" i="2" s="1"/>
  <c r="M15" i="2" a="1"/>
  <c r="M15" i="2" s="1"/>
  <c r="M16" i="2" a="1"/>
  <c r="M16" i="2"/>
  <c r="M17" i="2" a="1"/>
  <c r="M17" i="2"/>
  <c r="M18" i="2" a="1"/>
  <c r="M18" i="2" s="1"/>
  <c r="M19" i="2" a="1"/>
  <c r="M19" i="2" s="1"/>
  <c r="M20" i="2" a="1"/>
  <c r="M20" i="2" s="1"/>
  <c r="M21" i="2" a="1"/>
  <c r="M21" i="2"/>
  <c r="M22" i="2" a="1"/>
  <c r="M22" i="2" s="1"/>
  <c r="M23" i="2" a="1"/>
  <c r="M23" i="2"/>
  <c r="M24" i="2" a="1"/>
  <c r="M24" i="2"/>
  <c r="M25" i="2" a="1"/>
  <c r="M25" i="2"/>
  <c r="M26" i="2" a="1"/>
  <c r="M26" i="2" s="1"/>
  <c r="M27" i="2" a="1"/>
  <c r="M27" i="2" s="1"/>
  <c r="M28" i="2" a="1"/>
  <c r="M28" i="2" s="1"/>
  <c r="M29" i="2" a="1"/>
  <c r="M29" i="2" s="1"/>
  <c r="M30" i="2" a="1"/>
  <c r="M30" i="2"/>
  <c r="M31" i="2" a="1"/>
  <c r="M31" i="2" s="1"/>
  <c r="M32" i="2" a="1"/>
  <c r="M32" i="2" s="1"/>
  <c r="M33" i="2" a="1"/>
  <c r="M33" i="2" s="1"/>
  <c r="M34" i="2" a="1"/>
  <c r="M34" i="2" s="1"/>
  <c r="M35" i="2" a="1"/>
  <c r="M35" i="2" s="1"/>
  <c r="M36" i="2" a="1"/>
  <c r="M36" i="2"/>
  <c r="M37" i="2" a="1"/>
  <c r="M37" i="2"/>
  <c r="M38" i="2" a="1"/>
  <c r="M38" i="2" s="1"/>
  <c r="M39" i="2" a="1"/>
  <c r="M39" i="2"/>
  <c r="M40" i="2" a="1"/>
  <c r="M40" i="2"/>
  <c r="M41" i="2" a="1"/>
  <c r="M41" i="2" s="1"/>
  <c r="M42" i="2" a="1"/>
  <c r="M42" i="2" s="1"/>
  <c r="M43" i="2" a="1"/>
  <c r="M43" i="2"/>
  <c r="M44" i="2" a="1"/>
  <c r="M44" i="2" s="1"/>
  <c r="M45" i="2" a="1"/>
  <c r="M45" i="2"/>
  <c r="M46" i="2" a="1"/>
  <c r="M46" i="2" s="1"/>
  <c r="M47" i="2" a="1"/>
  <c r="M47" i="2"/>
  <c r="M48" i="2" a="1"/>
  <c r="M48" i="2" s="1"/>
  <c r="M49" i="2" a="1"/>
  <c r="M49" i="2" s="1"/>
  <c r="M50" i="2" a="1"/>
  <c r="M50" i="2" s="1"/>
  <c r="M51" i="2" a="1"/>
  <c r="M51" i="2" s="1"/>
  <c r="M52" i="2" a="1"/>
  <c r="M52" i="2"/>
  <c r="M53" i="2" a="1"/>
  <c r="M53" i="2"/>
  <c r="M54" i="2" a="1"/>
  <c r="M54" i="2" s="1"/>
  <c r="M55" i="2" a="1"/>
  <c r="M55" i="2"/>
  <c r="M56" i="2" a="1"/>
  <c r="M56" i="2" s="1"/>
  <c r="M57" i="2" a="1"/>
  <c r="M57" i="2" s="1"/>
  <c r="M58" i="2" a="1"/>
  <c r="M58" i="2"/>
  <c r="M59" i="2" a="1"/>
  <c r="M59" i="2" s="1"/>
  <c r="M60" i="2" a="1"/>
  <c r="M60" i="2"/>
  <c r="M61" i="2" a="1"/>
  <c r="M61" i="2"/>
  <c r="M62" i="2" a="1"/>
  <c r="M62" i="2" s="1"/>
  <c r="M63" i="2" a="1"/>
  <c r="M63" i="2" s="1"/>
  <c r="M64" i="2" a="1"/>
  <c r="M64" i="2" s="1"/>
  <c r="M65" i="2" a="1"/>
  <c r="M65" i="2"/>
  <c r="M66" i="2" a="1"/>
  <c r="M66" i="2" s="1"/>
  <c r="M67" i="2" a="1"/>
  <c r="M67" i="2" s="1"/>
  <c r="M68" i="2" a="1"/>
  <c r="M68" i="2" s="1"/>
  <c r="M69" i="2" a="1"/>
  <c r="M69" i="2"/>
  <c r="M70" i="2" a="1"/>
  <c r="M70" i="2"/>
  <c r="M71" i="2" a="1"/>
  <c r="M71" i="2" s="1"/>
  <c r="M72" i="2" a="1"/>
  <c r="M72" i="2" s="1"/>
  <c r="M73" i="2" a="1"/>
  <c r="M73" i="2"/>
  <c r="M74" i="2" a="1"/>
  <c r="M74" i="2" s="1"/>
  <c r="M75" i="2" a="1"/>
  <c r="M75" i="2"/>
  <c r="M76" i="2" a="1"/>
  <c r="M76" i="2"/>
  <c r="M77" i="2" a="1"/>
  <c r="M77" i="2" s="1"/>
  <c r="M78" i="2" a="1"/>
  <c r="M78" i="2" s="1"/>
  <c r="M79" i="2" a="1"/>
  <c r="M79" i="2" s="1"/>
  <c r="M80" i="2" a="1"/>
  <c r="M80" i="2" s="1"/>
  <c r="M81" i="2" a="1"/>
  <c r="M81" i="2" s="1"/>
  <c r="M82" i="2" a="1"/>
  <c r="M82" i="2"/>
  <c r="M83" i="2" a="1"/>
  <c r="M83" i="2"/>
  <c r="M84" i="2" a="1"/>
  <c r="M84" i="2"/>
  <c r="M85" i="2" a="1"/>
  <c r="M85" i="2" s="1"/>
  <c r="M86" i="2" a="1"/>
  <c r="M86" i="2" s="1"/>
  <c r="M87" i="2" a="1"/>
  <c r="M87" i="2" s="1"/>
  <c r="M88" i="2" a="1"/>
  <c r="M88" i="2"/>
  <c r="M89" i="2" a="1"/>
  <c r="M89" i="2"/>
  <c r="M90" i="2" a="1"/>
  <c r="M90" i="2" s="1"/>
  <c r="M91" i="2" a="1"/>
  <c r="M91" i="2"/>
  <c r="M92" i="2" a="1"/>
  <c r="M92" i="2" s="1"/>
  <c r="M93" i="2" a="1"/>
  <c r="M93" i="2" s="1"/>
  <c r="M94" i="2" a="1"/>
  <c r="M94" i="2" s="1"/>
  <c r="M95" i="2" a="1"/>
  <c r="M95" i="2"/>
  <c r="M96" i="2" a="1"/>
  <c r="M96" i="2"/>
  <c r="M97" i="2" a="1"/>
  <c r="M97" i="2"/>
  <c r="M98" i="2" a="1"/>
  <c r="M98" i="2" s="1"/>
  <c r="M99" i="2" a="1"/>
  <c r="M99" i="2"/>
  <c r="M100" i="2" a="1"/>
  <c r="M100" i="2" s="1"/>
  <c r="M101" i="2" a="1"/>
  <c r="M101" i="2" s="1"/>
  <c r="L58" i="2" a="1"/>
  <c r="L58" i="2" s="1"/>
  <c r="L79" i="2" a="1"/>
  <c r="L79" i="2" s="1"/>
  <c r="L94" i="2" a="1"/>
  <c r="L94" i="2" s="1"/>
  <c r="K2" i="2"/>
  <c r="L2" i="2" s="1" a="1"/>
  <c r="L2" i="2" s="1"/>
  <c r="K3" i="2"/>
  <c r="L3" i="2" s="1" a="1"/>
  <c r="L3" i="2" s="1"/>
  <c r="K4" i="2"/>
  <c r="L4" i="2" s="1" a="1"/>
  <c r="L4" i="2" s="1"/>
  <c r="K5" i="2"/>
  <c r="L5" i="2" s="1" a="1"/>
  <c r="L5" i="2" s="1"/>
  <c r="K6" i="2"/>
  <c r="L6" i="2" s="1" a="1"/>
  <c r="L6" i="2" s="1"/>
  <c r="K7" i="2"/>
  <c r="L7" i="2" s="1" a="1"/>
  <c r="L7" i="2" s="1"/>
  <c r="K8" i="2"/>
  <c r="L8" i="2" s="1" a="1"/>
  <c r="L8" i="2" s="1"/>
  <c r="K9" i="2"/>
  <c r="L9" i="2" s="1" a="1"/>
  <c r="L9" i="2" s="1"/>
  <c r="K10" i="2"/>
  <c r="L10" i="2" s="1" a="1"/>
  <c r="L10" i="2" s="1"/>
  <c r="K11" i="2"/>
  <c r="L11" i="2" s="1" a="1"/>
  <c r="L11" i="2" s="1"/>
  <c r="K12" i="2"/>
  <c r="L12" i="2" s="1" a="1"/>
  <c r="L12" i="2" s="1"/>
  <c r="K13" i="2"/>
  <c r="L13" i="2" s="1" a="1"/>
  <c r="L13" i="2" s="1"/>
  <c r="K14" i="2"/>
  <c r="L14" i="2" s="1" a="1"/>
  <c r="L14" i="2" s="1"/>
  <c r="K15" i="2"/>
  <c r="L15" i="2" s="1" a="1"/>
  <c r="L15" i="2" s="1"/>
  <c r="K16" i="2"/>
  <c r="L16" i="2" s="1" a="1"/>
  <c r="L16" i="2" s="1"/>
  <c r="K17" i="2"/>
  <c r="L17" i="2" s="1" a="1"/>
  <c r="L17" i="2" s="1"/>
  <c r="K18" i="2"/>
  <c r="L18" i="2" s="1" a="1"/>
  <c r="L18" i="2" s="1"/>
  <c r="K19" i="2"/>
  <c r="L19" i="2" s="1" a="1"/>
  <c r="L19" i="2" s="1"/>
  <c r="K20" i="2"/>
  <c r="L20" i="2" s="1" a="1"/>
  <c r="L20" i="2" s="1"/>
  <c r="K21" i="2"/>
  <c r="L21" i="2" s="1" a="1"/>
  <c r="L21" i="2" s="1"/>
  <c r="K22" i="2"/>
  <c r="L22" i="2" s="1" a="1"/>
  <c r="L22" i="2" s="1"/>
  <c r="K23" i="2"/>
  <c r="L23" i="2" s="1" a="1"/>
  <c r="L23" i="2" s="1"/>
  <c r="K24" i="2"/>
  <c r="L24" i="2" s="1" a="1"/>
  <c r="L24" i="2" s="1"/>
  <c r="K25" i="2"/>
  <c r="L25" i="2" s="1" a="1"/>
  <c r="L25" i="2" s="1"/>
  <c r="K26" i="2"/>
  <c r="L26" i="2" s="1" a="1"/>
  <c r="L26" i="2" s="1"/>
  <c r="K27" i="2"/>
  <c r="L27" i="2" s="1" a="1"/>
  <c r="L27" i="2" s="1"/>
  <c r="K28" i="2"/>
  <c r="L28" i="2" s="1" a="1"/>
  <c r="L28" i="2" s="1"/>
  <c r="K29" i="2"/>
  <c r="L29" i="2" s="1" a="1"/>
  <c r="L29" i="2" s="1"/>
  <c r="K30" i="2"/>
  <c r="L30" i="2" s="1" a="1"/>
  <c r="L30" i="2" s="1"/>
  <c r="K31" i="2"/>
  <c r="L31" i="2" s="1" a="1"/>
  <c r="L31" i="2" s="1"/>
  <c r="K32" i="2"/>
  <c r="L32" i="2" s="1" a="1"/>
  <c r="L32" i="2" s="1"/>
  <c r="K33" i="2"/>
  <c r="L33" i="2" s="1" a="1"/>
  <c r="L33" i="2" s="1"/>
  <c r="K34" i="2"/>
  <c r="L34" i="2" s="1" a="1"/>
  <c r="L34" i="2" s="1"/>
  <c r="K35" i="2"/>
  <c r="L35" i="2" s="1" a="1"/>
  <c r="L35" i="2" s="1"/>
  <c r="K36" i="2"/>
  <c r="L36" i="2" s="1" a="1"/>
  <c r="L36" i="2" s="1"/>
  <c r="K37" i="2"/>
  <c r="L37" i="2" s="1" a="1"/>
  <c r="L37" i="2" s="1"/>
  <c r="K38" i="2"/>
  <c r="L38" i="2" s="1" a="1"/>
  <c r="L38" i="2" s="1"/>
  <c r="K39" i="2"/>
  <c r="L39" i="2" s="1" a="1"/>
  <c r="L39" i="2" s="1"/>
  <c r="K40" i="2"/>
  <c r="L40" i="2" s="1" a="1"/>
  <c r="L40" i="2" s="1"/>
  <c r="K41" i="2"/>
  <c r="L41" i="2" s="1" a="1"/>
  <c r="L41" i="2" s="1"/>
  <c r="K42" i="2"/>
  <c r="L42" i="2" s="1" a="1"/>
  <c r="L42" i="2" s="1"/>
  <c r="K43" i="2"/>
  <c r="L43" i="2" s="1" a="1"/>
  <c r="L43" i="2" s="1"/>
  <c r="K44" i="2"/>
  <c r="L44" i="2" s="1" a="1"/>
  <c r="L44" i="2" s="1"/>
  <c r="K45" i="2"/>
  <c r="L45" i="2" s="1" a="1"/>
  <c r="L45" i="2" s="1"/>
  <c r="K46" i="2"/>
  <c r="L46" i="2" s="1" a="1"/>
  <c r="L46" i="2" s="1"/>
  <c r="K47" i="2"/>
  <c r="L47" i="2" s="1" a="1"/>
  <c r="L47" i="2" s="1"/>
  <c r="K48" i="2"/>
  <c r="L48" i="2" s="1" a="1"/>
  <c r="L48" i="2" s="1"/>
  <c r="K49" i="2"/>
  <c r="L49" i="2" s="1" a="1"/>
  <c r="L49" i="2" s="1"/>
  <c r="K50" i="2"/>
  <c r="L50" i="2" s="1" a="1"/>
  <c r="L50" i="2" s="1"/>
  <c r="K51" i="2"/>
  <c r="L51" i="2" s="1" a="1"/>
  <c r="L51" i="2" s="1"/>
  <c r="K52" i="2"/>
  <c r="L52" i="2" s="1" a="1"/>
  <c r="L52" i="2" s="1"/>
  <c r="K53" i="2"/>
  <c r="L53" i="2" s="1" a="1"/>
  <c r="L53" i="2" s="1"/>
  <c r="K54" i="2"/>
  <c r="L54" i="2" s="1" a="1"/>
  <c r="L54" i="2" s="1"/>
  <c r="K55" i="2"/>
  <c r="L55" i="2" s="1" a="1"/>
  <c r="L55" i="2" s="1"/>
  <c r="K56" i="2"/>
  <c r="L56" i="2" s="1" a="1"/>
  <c r="L56" i="2" s="1"/>
  <c r="K57" i="2"/>
  <c r="L57" i="2" s="1" a="1"/>
  <c r="L57" i="2" s="1"/>
  <c r="K58" i="2"/>
  <c r="K59" i="2"/>
  <c r="L59" i="2" s="1" a="1"/>
  <c r="L59" i="2" s="1"/>
  <c r="K60" i="2"/>
  <c r="L60" i="2" s="1" a="1"/>
  <c r="L60" i="2" s="1"/>
  <c r="K61" i="2"/>
  <c r="L61" i="2" s="1" a="1"/>
  <c r="L61" i="2" s="1"/>
  <c r="K62" i="2"/>
  <c r="L62" i="2" s="1" a="1"/>
  <c r="L62" i="2" s="1"/>
  <c r="K63" i="2"/>
  <c r="L63" i="2" s="1" a="1"/>
  <c r="L63" i="2" s="1"/>
  <c r="K64" i="2"/>
  <c r="L64" i="2" s="1" a="1"/>
  <c r="L64" i="2" s="1"/>
  <c r="K65" i="2"/>
  <c r="L65" i="2" s="1" a="1"/>
  <c r="L65" i="2" s="1"/>
  <c r="K66" i="2"/>
  <c r="L66" i="2" s="1" a="1"/>
  <c r="L66" i="2" s="1"/>
  <c r="K67" i="2"/>
  <c r="L67" i="2" s="1" a="1"/>
  <c r="L67" i="2" s="1"/>
  <c r="K68" i="2"/>
  <c r="L68" i="2" s="1" a="1"/>
  <c r="L68" i="2" s="1"/>
  <c r="K69" i="2"/>
  <c r="L69" i="2" s="1" a="1"/>
  <c r="L69" i="2" s="1"/>
  <c r="K70" i="2"/>
  <c r="L70" i="2" s="1" a="1"/>
  <c r="L70" i="2" s="1"/>
  <c r="K71" i="2"/>
  <c r="L71" i="2" s="1" a="1"/>
  <c r="L71" i="2" s="1"/>
  <c r="K72" i="2"/>
  <c r="L72" i="2" s="1" a="1"/>
  <c r="L72" i="2" s="1"/>
  <c r="K73" i="2"/>
  <c r="L73" i="2" s="1" a="1"/>
  <c r="L73" i="2" s="1"/>
  <c r="K74" i="2"/>
  <c r="L74" i="2" s="1" a="1"/>
  <c r="L74" i="2" s="1"/>
  <c r="K75" i="2"/>
  <c r="L75" i="2" s="1" a="1"/>
  <c r="L75" i="2" s="1"/>
  <c r="K76" i="2"/>
  <c r="L76" i="2" s="1" a="1"/>
  <c r="L76" i="2" s="1"/>
  <c r="K77" i="2"/>
  <c r="L77" i="2" s="1" a="1"/>
  <c r="L77" i="2" s="1"/>
  <c r="K78" i="2"/>
  <c r="L78" i="2" s="1" a="1"/>
  <c r="L78" i="2" s="1"/>
  <c r="K79" i="2"/>
  <c r="K80" i="2"/>
  <c r="L80" i="2" s="1" a="1"/>
  <c r="L80" i="2" s="1"/>
  <c r="K81" i="2"/>
  <c r="L81" i="2" s="1" a="1"/>
  <c r="L81" i="2" s="1"/>
  <c r="K82" i="2"/>
  <c r="L82" i="2" s="1" a="1"/>
  <c r="L82" i="2" s="1"/>
  <c r="K83" i="2"/>
  <c r="L83" i="2" s="1" a="1"/>
  <c r="L83" i="2" s="1"/>
  <c r="K84" i="2"/>
  <c r="L84" i="2" s="1" a="1"/>
  <c r="L84" i="2" s="1"/>
  <c r="K85" i="2"/>
  <c r="L85" i="2" s="1" a="1"/>
  <c r="L85" i="2" s="1"/>
  <c r="K86" i="2"/>
  <c r="L86" i="2" s="1" a="1"/>
  <c r="L86" i="2" s="1"/>
  <c r="K87" i="2"/>
  <c r="L87" i="2" s="1" a="1"/>
  <c r="L87" i="2" s="1"/>
  <c r="K88" i="2"/>
  <c r="L88" i="2" s="1" a="1"/>
  <c r="L88" i="2" s="1"/>
  <c r="K89" i="2"/>
  <c r="L89" i="2" s="1" a="1"/>
  <c r="L89" i="2" s="1"/>
  <c r="K90" i="2"/>
  <c r="L90" i="2" s="1" a="1"/>
  <c r="L90" i="2" s="1"/>
  <c r="K91" i="2"/>
  <c r="L91" i="2" s="1" a="1"/>
  <c r="L91" i="2" s="1"/>
  <c r="K92" i="2"/>
  <c r="L92" i="2" s="1" a="1"/>
  <c r="L92" i="2" s="1"/>
  <c r="K93" i="2"/>
  <c r="L93" i="2" s="1" a="1"/>
  <c r="L93" i="2" s="1"/>
  <c r="K94" i="2"/>
  <c r="K95" i="2"/>
  <c r="L95" i="2" s="1" a="1"/>
  <c r="L95" i="2" s="1"/>
  <c r="K96" i="2"/>
  <c r="L96" i="2" s="1" a="1"/>
  <c r="L96" i="2" s="1"/>
  <c r="K97" i="2"/>
  <c r="L97" i="2" s="1" a="1"/>
  <c r="L97" i="2" s="1"/>
  <c r="K98" i="2"/>
  <c r="L98" i="2" s="1" a="1"/>
  <c r="L98" i="2" s="1"/>
  <c r="K99" i="2"/>
  <c r="L99" i="2" s="1" a="1"/>
  <c r="L99" i="2" s="1"/>
  <c r="K100" i="2"/>
  <c r="L100" i="2" s="1" a="1"/>
  <c r="L100" i="2" s="1"/>
  <c r="K101" i="2"/>
  <c r="L101" i="2" s="1" a="1"/>
  <c r="L1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A91BEA-D7E1-4AD2-B31A-94F4767B3836}"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<sst xmlns="http://schemas.openxmlformats.org/spreadsheetml/2006/main" count="635" uniqueCount="131">
  <si>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</si>
  <si>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</si>
  <si>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</si>
  <si>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</si>
  <si>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</si>
  <si>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</si>
  <si>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</si>
  <si>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</si>
  <si>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</si>
  <si>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</si>
  <si>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</si>
  <si>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</si>
  <si>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</si>
  <si>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</si>
  <si>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</si>
  <si>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</si>
  <si>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</si>
  <si>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</si>
  <si>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</si>
  <si>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</si>
  <si>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</si>
  <si>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</si>
  <si>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</si>
  <si>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</si>
  <si>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</si>
  <si>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</si>
  <si>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</si>
  <si>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</si>
  <si>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</si>
  <si>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</si>
  <si>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</si>
  <si>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</si>
  <si>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</si>
  <si>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</si>
  <si>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</si>
  <si>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</si>
  <si>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</si>
  <si>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</si>
  <si>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</si>
  <si>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</si>
  <si>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</si>
  <si>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</si>
  <si>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</si>
  <si>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</si>
  <si>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</si>
  <si>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</si>
  <si>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</si>
  <si>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</si>
  <si>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</si>
  <si>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</si>
  <si>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</si>
  <si>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</si>
  <si>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</si>
  <si>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</si>
  <si>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</si>
  <si>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</si>
  <si>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</si>
  <si>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</si>
  <si>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</si>
  <si>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</si>
  <si>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</si>
  <si>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</si>
  <si>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</si>
  <si>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</si>
  <si>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</si>
  <si>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</si>
  <si>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</si>
  <si>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</si>
  <si>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</si>
  <si>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</si>
  <si>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</si>
  <si>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</si>
  <si>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</si>
  <si>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</si>
  <si>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</si>
  <si>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</si>
  <si>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</si>
  <si>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</si>
  <si>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</si>
  <si>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</si>
  <si>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</si>
  <si>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</si>
  <si>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</si>
  <si>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</si>
  <si>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</si>
  <si>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</si>
  <si>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</si>
  <si>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</si>
  <si>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</si>
  <si>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</si>
  <si>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</si>
  <si>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</si>
  <si>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</si>
  <si>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</si>
  <si>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</si>
  <si>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</si>
  <si>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</si>
  <si>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</si>
  <si>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</si>
  <si>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</si>
  <si>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</si>
  <si>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</si>
  <si>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</si>
  <si>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</si>
  <si>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</si>
  <si>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</si>
  <si>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</si>
  <si>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</si>
  <si>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</si>
  <si>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</si>
  <si>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</si>
  <si>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</si>
  <si>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</si>
  <si>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</si>
  <si>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</si>
  <si>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</si>
  <si>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</si>
  <si>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</si>
  <si>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Data Cleaning</t>
  </si>
  <si>
    <t>• Create Calculated Columns - BMI</t>
  </si>
  <si>
    <t>• Create Calculated Columns - Health Status</t>
  </si>
  <si>
    <t>Health Status</t>
  </si>
  <si>
    <t>Data Analysis and Insights</t>
  </si>
  <si>
    <t>• Health Status by Age Group: Analyze the distribution of Health_Status across different age groups (e.g., 24-36 months, 37-48 months, etc.). Use a PivotTable and a clustered column chart.</t>
  </si>
  <si>
    <t>Age Group</t>
  </si>
  <si>
    <t>• Create Calculated Columns - Age Group</t>
  </si>
  <si>
    <t>• Nutrient Intake vs. BMI: Create a PivotTable to find the average BMI for children based on their Daily_Fruit_Servings and Daily_Veggie_Servings. Use a Slicer for Region to filter the data.</t>
  </si>
  <si>
    <t>• Correlation of Sugar and Screen Time: Find the average Daily_Sugar_Drinks and ScreenTime_Hours for each Health_Status category. A bar chart would be ideal to visualize this.</t>
  </si>
  <si>
    <t>This analysis shows that children’s food habits have a direct impact on their health and growth. Regions where children consume more fruits tend to have healthier BMI levels, while regions with lower fruit intake show higher BMI, indicating possible health risks.</t>
  </si>
  <si>
    <t>Younger children (24–36 months) show more variation in health status, which means early nutrition plays an important role in their development.</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</si>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</sst>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20"/>
      <color theme="8" tint="-0.249977111117893"/>
      <name val="Calibri"/>
      <family val="2"/>
      <scheme val="minor"/>
    </font>
    <font>
      <b/>
      <sz val="16"/>
      <color theme="5" tint="-0.249977111117893"/>
      <name val="Calibri"/>
      <family val="2"/>
      <scheme val="minor"/>
    </font>
    <font>
      <b/>
      <sz val="14"/>
      <color theme="5" tint="-0.249977111117893"/>
      <name val="Calibri"/>
      <family val="2"/>
      <scheme val="minor"/>
    </font>
    <font>
      <b/>
      <sz val="12"/>
      <color theme="9" tint="-0.249977111117893"/>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2" borderId="0" xfId="0" applyFill="1"/>
    <xf numFmtId="0" fontId="1" fillId="2" borderId="0" xfId="0" applyFont="1" applyFill="1" applyAlignment="1">
      <alignment horizontal="left"/>
    </xf>
    <xf numFmtId="0" fontId="2" fillId="2" borderId="0" xfId="0" applyFont="1" applyFill="1"/>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4" fillId="2" borderId="0" xfId="0" applyFont="1" applyFill="1"/>
    <xf numFmtId="0" fontId="4" fillId="2" borderId="0" xfId="0" applyFont="1" applyFill="1" applyAlignment="1"/>
  </cellXfs>
  <cellStyles count="1">
    <cellStyle name="Normal" xfId="0" builtinId="0"/>
  </cellStyles>
  <dxfs count="17">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Healthy Weight</c:v>
          </c:tx>
          <c:spPr>
            <a:solidFill>
              <a:schemeClr val="accent6"/>
            </a:solidFill>
            <a:ln>
              <a:noFill/>
            </a:ln>
            <a:effectLst/>
          </c:spPr>
          <c:invertIfNegative val="0"/>
          <c:cat>
            <c:strLit>
              <c:ptCount val="3"/>
              <c:pt idx="0">
                <c:v>24-36 Months</c:v>
              </c:pt>
              <c:pt idx="1">
                <c:v>37-48 Months</c:v>
              </c:pt>
              <c:pt idx="2">
                <c:v>Above 48 Months</c:v>
              </c:pt>
            </c:strLit>
          </c:cat>
          <c:val>
            <c:numLit>
              <c:formatCode>General</c:formatCode>
              <c:ptCount val="3"/>
              <c:pt idx="0">
                <c:v>1</c:v>
              </c:pt>
              <c:pt idx="1">
                <c:v>0</c:v>
              </c:pt>
              <c:pt idx="2">
                <c:v>0</c:v>
              </c:pt>
            </c:numLit>
          </c:val>
          <c:extLst>
            <c:ext xmlns:c16="http://schemas.microsoft.com/office/drawing/2014/chart" uri="{C3380CC4-5D6E-409C-BE32-E72D297353CC}">
              <c16:uniqueId val="{00000004-D587-4212-ADA6-0D5A8E5C3986}"/>
            </c:ext>
          </c:extLst>
        </c:ser>
        <c:ser>
          <c:idx val="1"/>
          <c:order val="1"/>
          <c:tx>
            <c:v>Obesity</c:v>
          </c:tx>
          <c:spPr>
            <a:solidFill>
              <a:schemeClr val="accent5"/>
            </a:solidFill>
            <a:ln>
              <a:noFill/>
            </a:ln>
            <a:effectLst/>
          </c:spPr>
          <c:invertIfNegative val="0"/>
          <c:cat>
            <c:strLit>
              <c:ptCount val="3"/>
              <c:pt idx="0">
                <c:v>24-36 Months</c:v>
              </c:pt>
              <c:pt idx="1">
                <c:v>37-48 Months</c:v>
              </c:pt>
              <c:pt idx="2">
                <c:v>Above 48 Months</c:v>
              </c:pt>
            </c:strLit>
          </c:cat>
          <c:val>
            <c:numLit>
              <c:formatCode>General</c:formatCode>
              <c:ptCount val="3"/>
              <c:pt idx="0">
                <c:v>28</c:v>
              </c:pt>
              <c:pt idx="1">
                <c:v>28</c:v>
              </c:pt>
              <c:pt idx="2">
                <c:v>31</c:v>
              </c:pt>
            </c:numLit>
          </c:val>
          <c:extLst>
            <c:ext xmlns:c16="http://schemas.microsoft.com/office/drawing/2014/chart" uri="{C3380CC4-5D6E-409C-BE32-E72D297353CC}">
              <c16:uniqueId val="{00000009-D587-4212-ADA6-0D5A8E5C3986}"/>
            </c:ext>
          </c:extLst>
        </c:ser>
        <c:ser>
          <c:idx val="2"/>
          <c:order val="2"/>
          <c:tx>
            <c:v>Overweight</c:v>
          </c:tx>
          <c:invertIfNegative val="0"/>
          <c:cat>
            <c:strLit>
              <c:ptCount val="3"/>
              <c:pt idx="0">
                <c:v>24-36 Months</c:v>
              </c:pt>
              <c:pt idx="1">
                <c:v>37-48 Months</c:v>
              </c:pt>
              <c:pt idx="2">
                <c:v>Above 48 Months</c:v>
              </c:pt>
            </c:strLit>
          </c:cat>
          <c:val>
            <c:numLit>
              <c:formatCode>General</c:formatCode>
              <c:ptCount val="3"/>
              <c:pt idx="0">
                <c:v>10</c:v>
              </c:pt>
              <c:pt idx="1">
                <c:v>2</c:v>
              </c:pt>
              <c:pt idx="2">
                <c:v>0</c:v>
              </c:pt>
            </c:numLit>
          </c:val>
          <c:extLst>
            <c:ext xmlns:c16="http://schemas.microsoft.com/office/drawing/2014/chart" uri="{C3380CC4-5D6E-409C-BE32-E72D297353CC}">
              <c16:uniqueId val="{0000000C-D587-4212-ADA6-0D5A8E5C3986}"/>
            </c:ext>
          </c:extLst>
        </c:ser>
        <c:dLbls>
          <c:showLegendKey val="0"/>
          <c:showVal val="0"/>
          <c:showCatName val="0"/>
          <c:showSerName val="0"/>
          <c:showPercent val="0"/>
          <c:showBubbleSize val="0"/>
        </c:dLbls>
        <c:gapWidth val="219"/>
        <c:overlap val="-27"/>
        <c:axId val="2135833552"/>
        <c:axId val="2135830672"/>
      </c:barChart>
      <c:catAx>
        <c:axId val="21358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30672"/>
        <c:crosses val="autoZero"/>
        <c:auto val="1"/>
        <c:lblAlgn val="ctr"/>
        <c:lblOffset val="100"/>
        <c:noMultiLvlLbl val="0"/>
      </c:catAx>
      <c:valAx>
        <c:axId val="213583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335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Daily_Sugar_Drinks</c:v>
          </c:tx>
          <c:spPr>
            <a:solidFill>
              <a:schemeClr val="accent6"/>
            </a:solidFill>
            <a:ln>
              <a:noFill/>
            </a:ln>
            <a:effectLst/>
          </c:spPr>
          <c:invertIfNegative val="0"/>
          <c:cat>
            <c:strLit>
              <c:ptCount val="3"/>
              <c:pt idx="0">
                <c:v>Healthy Weight</c:v>
              </c:pt>
              <c:pt idx="1">
                <c:v>Obesity</c:v>
              </c:pt>
              <c:pt idx="2">
                <c:v>Overweight</c:v>
              </c:pt>
            </c:strLit>
          </c:cat>
          <c:val>
            <c:numLit>
              <c:formatCode>General</c:formatCode>
              <c:ptCount val="3"/>
              <c:pt idx="0">
                <c:v>1</c:v>
              </c:pt>
              <c:pt idx="1">
                <c:v>1.367816091954023</c:v>
              </c:pt>
              <c:pt idx="2">
                <c:v>1.4166666666666667</c:v>
              </c:pt>
            </c:numLit>
          </c:val>
          <c:extLst>
            <c:ext xmlns:c16="http://schemas.microsoft.com/office/drawing/2014/chart" uri="{C3380CC4-5D6E-409C-BE32-E72D297353CC}">
              <c16:uniqueId val="{00000000-2C32-475B-B2DC-45F52490A166}"/>
            </c:ext>
          </c:extLst>
        </c:ser>
        <c:ser>
          <c:idx val="1"/>
          <c:order val="1"/>
          <c:tx>
            <c:v>Average of ScreenTime_Hours</c:v>
          </c:tx>
          <c:spPr>
            <a:solidFill>
              <a:schemeClr val="accent5"/>
            </a:solidFill>
            <a:ln>
              <a:noFill/>
            </a:ln>
            <a:effectLst/>
          </c:spPr>
          <c:invertIfNegative val="0"/>
          <c:cat>
            <c:strLit>
              <c:ptCount val="3"/>
              <c:pt idx="0">
                <c:v>Healthy Weight</c:v>
              </c:pt>
              <c:pt idx="1">
                <c:v>Obesity</c:v>
              </c:pt>
              <c:pt idx="2">
                <c:v>Overweight</c:v>
              </c:pt>
            </c:strLit>
          </c:cat>
          <c:val>
            <c:numLit>
              <c:formatCode>General</c:formatCode>
              <c:ptCount val="3"/>
              <c:pt idx="0">
                <c:v>1.3</c:v>
              </c:pt>
              <c:pt idx="1">
                <c:v>1.401149425287356</c:v>
              </c:pt>
              <c:pt idx="2">
                <c:v>1.3333333333333333</c:v>
              </c:pt>
            </c:numLit>
          </c:val>
          <c:extLst>
            <c:ext xmlns:c16="http://schemas.microsoft.com/office/drawing/2014/chart" uri="{C3380CC4-5D6E-409C-BE32-E72D297353CC}">
              <c16:uniqueId val="{00000001-2C32-475B-B2DC-45F52490A166}"/>
            </c:ext>
          </c:extLst>
        </c:ser>
        <c:dLbls>
          <c:showLegendKey val="0"/>
          <c:showVal val="0"/>
          <c:showCatName val="0"/>
          <c:showSerName val="0"/>
          <c:showPercent val="0"/>
          <c:showBubbleSize val="0"/>
        </c:dLbls>
        <c:gapWidth val="219"/>
        <c:overlap val="-27"/>
        <c:axId val="2135833552"/>
        <c:axId val="2135830672"/>
      </c:barChart>
      <c:catAx>
        <c:axId val="21358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30672"/>
        <c:crosses val="autoZero"/>
        <c:auto val="1"/>
        <c:lblAlgn val="ctr"/>
        <c:lblOffset val="100"/>
        <c:noMultiLvlLbl val="0"/>
      </c:catAx>
      <c:valAx>
        <c:axId val="213583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3</xdr:row>
      <xdr:rowOff>68580</xdr:rowOff>
    </xdr:from>
    <xdr:to>
      <xdr:col>18</xdr:col>
      <xdr:colOff>214318</xdr:colOff>
      <xdr:row>33</xdr:row>
      <xdr:rowOff>91917</xdr:rowOff>
    </xdr:to>
    <xdr:pic>
      <xdr:nvPicPr>
        <xdr:cNvPr id="2" name="Picture 1">
          <a:extLst>
            <a:ext uri="{FF2B5EF4-FFF2-40B4-BE49-F238E27FC236}">
              <a16:creationId xmlns:a16="http://schemas.microsoft.com/office/drawing/2014/main" id="{97D3BD3A-E86E-3469-2CF7-46413C67919D}"/>
            </a:ext>
          </a:extLst>
        </xdr:cNvPr>
        <xdr:cNvPicPr>
          <a:picLocks noChangeAspect="1"/>
        </xdr:cNvPicPr>
      </xdr:nvPicPr>
      <xdr:blipFill>
        <a:blip xmlns:r="http://schemas.openxmlformats.org/officeDocument/2006/relationships" r:embed="rId1"/>
        <a:stretch>
          <a:fillRect/>
        </a:stretch>
      </xdr:blipFill>
      <xdr:spPr>
        <a:xfrm>
          <a:off x="129540" y="845820"/>
          <a:ext cx="11057578" cy="550973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190501</xdr:colOff>
      <xdr:row>36</xdr:row>
      <xdr:rowOff>148296</xdr:rowOff>
    </xdr:from>
    <xdr:to>
      <xdr:col>18</xdr:col>
      <xdr:colOff>205740</xdr:colOff>
      <xdr:row>64</xdr:row>
      <xdr:rowOff>46198</xdr:rowOff>
    </xdr:to>
    <xdr:pic>
      <xdr:nvPicPr>
        <xdr:cNvPr id="3" name="Picture 2">
          <a:extLst>
            <a:ext uri="{FF2B5EF4-FFF2-40B4-BE49-F238E27FC236}">
              <a16:creationId xmlns:a16="http://schemas.microsoft.com/office/drawing/2014/main" id="{2894ECF3-71FF-AD84-6170-45AA7A5C3A2F}"/>
            </a:ext>
          </a:extLst>
        </xdr:cNvPr>
        <xdr:cNvPicPr>
          <a:picLocks noChangeAspect="1"/>
        </xdr:cNvPicPr>
      </xdr:nvPicPr>
      <xdr:blipFill>
        <a:blip xmlns:r="http://schemas.openxmlformats.org/officeDocument/2006/relationships" r:embed="rId2"/>
        <a:stretch>
          <a:fillRect/>
        </a:stretch>
      </xdr:blipFill>
      <xdr:spPr>
        <a:xfrm>
          <a:off x="190501" y="7044396"/>
          <a:ext cx="10988039" cy="501854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205741</xdr:colOff>
      <xdr:row>68</xdr:row>
      <xdr:rowOff>7779</xdr:rowOff>
    </xdr:from>
    <xdr:to>
      <xdr:col>18</xdr:col>
      <xdr:colOff>190500</xdr:colOff>
      <xdr:row>93</xdr:row>
      <xdr:rowOff>130015</xdr:rowOff>
    </xdr:to>
    <xdr:pic>
      <xdr:nvPicPr>
        <xdr:cNvPr id="4" name="Picture 3">
          <a:extLst>
            <a:ext uri="{FF2B5EF4-FFF2-40B4-BE49-F238E27FC236}">
              <a16:creationId xmlns:a16="http://schemas.microsoft.com/office/drawing/2014/main" id="{60337196-9D05-9C4D-D4F1-85302BCA6098}"/>
            </a:ext>
          </a:extLst>
        </xdr:cNvPr>
        <xdr:cNvPicPr>
          <a:picLocks noChangeAspect="1"/>
        </xdr:cNvPicPr>
      </xdr:nvPicPr>
      <xdr:blipFill>
        <a:blip xmlns:r="http://schemas.openxmlformats.org/officeDocument/2006/relationships" r:embed="rId3"/>
        <a:stretch>
          <a:fillRect/>
        </a:stretch>
      </xdr:blipFill>
      <xdr:spPr>
        <a:xfrm>
          <a:off x="205741" y="12839859"/>
          <a:ext cx="10957559" cy="469423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137160</xdr:colOff>
      <xdr:row>5</xdr:row>
      <xdr:rowOff>132884</xdr:rowOff>
    </xdr:from>
    <xdr:to>
      <xdr:col>15</xdr:col>
      <xdr:colOff>595616</xdr:colOff>
      <xdr:row>28</xdr:row>
      <xdr:rowOff>30959</xdr:rowOff>
    </xdr:to>
    <xdr:pic>
      <xdr:nvPicPr>
        <xdr:cNvPr id="3" name="Picture 2">
          <a:extLst>
            <a:ext uri="{FF2B5EF4-FFF2-40B4-BE49-F238E27FC236}">
              <a16:creationId xmlns:a16="http://schemas.microsoft.com/office/drawing/2014/main" id="{667D5CD5-9A8A-EFB1-8C5F-ED4CBFA864B6}"/>
            </a:ext>
          </a:extLst>
        </xdr:cNvPr>
        <xdr:cNvPicPr>
          <a:picLocks noChangeAspect="1"/>
        </xdr:cNvPicPr>
      </xdr:nvPicPr>
      <xdr:blipFill>
        <a:blip xmlns:r="http://schemas.openxmlformats.org/officeDocument/2006/relationships" r:embed="rId1"/>
        <a:stretch>
          <a:fillRect/>
        </a:stretch>
      </xdr:blipFill>
      <xdr:spPr>
        <a:xfrm>
          <a:off x="137160" y="1275884"/>
          <a:ext cx="10737836" cy="410431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147574</xdr:colOff>
      <xdr:row>34</xdr:row>
      <xdr:rowOff>1754</xdr:rowOff>
    </xdr:from>
    <xdr:to>
      <xdr:col>16</xdr:col>
      <xdr:colOff>0</xdr:colOff>
      <xdr:row>56</xdr:row>
      <xdr:rowOff>122402</xdr:rowOff>
    </xdr:to>
    <xdr:pic>
      <xdr:nvPicPr>
        <xdr:cNvPr id="4" name="Picture 3">
          <a:extLst>
            <a:ext uri="{FF2B5EF4-FFF2-40B4-BE49-F238E27FC236}">
              <a16:creationId xmlns:a16="http://schemas.microsoft.com/office/drawing/2014/main" id="{CC6E6F99-6B98-BAD5-D72C-5B319BBE3DFF}"/>
            </a:ext>
          </a:extLst>
        </xdr:cNvPr>
        <xdr:cNvPicPr>
          <a:picLocks noChangeAspect="1"/>
        </xdr:cNvPicPr>
      </xdr:nvPicPr>
      <xdr:blipFill>
        <a:blip xmlns:r="http://schemas.openxmlformats.org/officeDocument/2006/relationships" r:embed="rId2"/>
        <a:stretch>
          <a:fillRect/>
        </a:stretch>
      </xdr:blipFill>
      <xdr:spPr>
        <a:xfrm>
          <a:off x="147574" y="6448274"/>
          <a:ext cx="10741406" cy="414400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137160</xdr:colOff>
      <xdr:row>62</xdr:row>
      <xdr:rowOff>107686</xdr:rowOff>
    </xdr:from>
    <xdr:to>
      <xdr:col>15</xdr:col>
      <xdr:colOff>603229</xdr:colOff>
      <xdr:row>84</xdr:row>
      <xdr:rowOff>122389</xdr:rowOff>
    </xdr:to>
    <xdr:pic>
      <xdr:nvPicPr>
        <xdr:cNvPr id="5" name="Picture 4">
          <a:extLst>
            <a:ext uri="{FF2B5EF4-FFF2-40B4-BE49-F238E27FC236}">
              <a16:creationId xmlns:a16="http://schemas.microsoft.com/office/drawing/2014/main" id="{BA5ED31B-27A1-5E93-D86D-6028F20414AF}"/>
            </a:ext>
          </a:extLst>
        </xdr:cNvPr>
        <xdr:cNvPicPr>
          <a:picLocks noChangeAspect="1"/>
        </xdr:cNvPicPr>
      </xdr:nvPicPr>
      <xdr:blipFill>
        <a:blip xmlns:r="http://schemas.openxmlformats.org/officeDocument/2006/relationships" r:embed="rId3"/>
        <a:stretch>
          <a:fillRect/>
        </a:stretch>
      </xdr:blipFill>
      <xdr:spPr>
        <a:xfrm>
          <a:off x="137160" y="11857726"/>
          <a:ext cx="10745449" cy="403806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137160</xdr:colOff>
      <xdr:row>90</xdr:row>
      <xdr:rowOff>56201</xdr:rowOff>
    </xdr:from>
    <xdr:to>
      <xdr:col>16</xdr:col>
      <xdr:colOff>38100</xdr:colOff>
      <xdr:row>112</xdr:row>
      <xdr:rowOff>137640</xdr:rowOff>
    </xdr:to>
    <xdr:pic>
      <xdr:nvPicPr>
        <xdr:cNvPr id="6" name="Picture 5">
          <a:extLst>
            <a:ext uri="{FF2B5EF4-FFF2-40B4-BE49-F238E27FC236}">
              <a16:creationId xmlns:a16="http://schemas.microsoft.com/office/drawing/2014/main" id="{BFD4D073-3AFC-0B50-7990-6D567EBCC095}"/>
            </a:ext>
          </a:extLst>
        </xdr:cNvPr>
        <xdr:cNvPicPr>
          <a:picLocks noChangeAspect="1"/>
        </xdr:cNvPicPr>
      </xdr:nvPicPr>
      <xdr:blipFill>
        <a:blip xmlns:r="http://schemas.openxmlformats.org/officeDocument/2006/relationships" r:embed="rId4"/>
        <a:stretch>
          <a:fillRect/>
        </a:stretch>
      </xdr:blipFill>
      <xdr:spPr>
        <a:xfrm>
          <a:off x="137160" y="16744001"/>
          <a:ext cx="10789920" cy="410479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3</xdr:row>
      <xdr:rowOff>144780</xdr:rowOff>
    </xdr:from>
    <xdr:to>
      <xdr:col>15</xdr:col>
      <xdr:colOff>22860</xdr:colOff>
      <xdr:row>28</xdr:row>
      <xdr:rowOff>160020</xdr:rowOff>
    </xdr:to>
    <xdr:sp macro="" textlink="">
      <xdr:nvSpPr>
        <xdr:cNvPr id="3" name="Rectangle 2">
          <a:extLst>
            <a:ext uri="{FF2B5EF4-FFF2-40B4-BE49-F238E27FC236}">
              <a16:creationId xmlns:a16="http://schemas.microsoft.com/office/drawing/2014/main" id="{A5F39B77-4E59-A619-98B4-7615EF0CE65B}"/>
            </a:ext>
          </a:extLst>
        </xdr:cNvPr>
        <xdr:cNvSpPr/>
      </xdr:nvSpPr>
      <xdr:spPr>
        <a:xfrm>
          <a:off x="632460" y="693420"/>
          <a:ext cx="8534400" cy="4587240"/>
        </a:xfrm>
        <a:prstGeom prst="rect">
          <a:avLst/>
        </a:prstGeom>
        <a:blipFill>
          <a:blip xmlns:r="http://schemas.openxmlformats.org/officeDocument/2006/relationships" r:embed="rId1"/>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4</xdr:row>
      <xdr:rowOff>60960</xdr:rowOff>
    </xdr:from>
    <xdr:to>
      <xdr:col>13</xdr:col>
      <xdr:colOff>22860</xdr:colOff>
      <xdr:row>6</xdr:row>
      <xdr:rowOff>99060</xdr:rowOff>
    </xdr:to>
    <xdr:sp macro="" textlink="">
      <xdr:nvSpPr>
        <xdr:cNvPr id="4" name="Rectangle: Rounded Corners 3">
          <a:extLst>
            <a:ext uri="{FF2B5EF4-FFF2-40B4-BE49-F238E27FC236}">
              <a16:creationId xmlns:a16="http://schemas.microsoft.com/office/drawing/2014/main" id="{E98DF747-F393-E9DC-2A99-1FF3DFA7A580}"/>
            </a:ext>
          </a:extLst>
        </xdr:cNvPr>
        <xdr:cNvSpPr/>
      </xdr:nvSpPr>
      <xdr:spPr>
        <a:xfrm>
          <a:off x="1699260" y="792480"/>
          <a:ext cx="6248400" cy="40386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baseline="0">
              <a:solidFill>
                <a:schemeClr val="accent5">
                  <a:lumMod val="50000"/>
                </a:schemeClr>
              </a:solidFill>
              <a:latin typeface="+mn-lt"/>
              <a:ea typeface="+mn-ea"/>
              <a:cs typeface="+mn-cs"/>
            </a:rPr>
            <a:t>The "Healthy Kids" Nutrition &amp; Growth </a:t>
          </a:r>
          <a:endParaRPr lang="en-IN" sz="1200">
            <a:solidFill>
              <a:schemeClr val="accent5">
                <a:lumMod val="50000"/>
              </a:schemeClr>
            </a:solidFill>
          </a:endParaRPr>
        </a:p>
      </xdr:txBody>
    </xdr:sp>
    <xdr:clientData/>
  </xdr:twoCellAnchor>
  <xdr:twoCellAnchor editAs="oneCell">
    <xdr:from>
      <xdr:col>9</xdr:col>
      <xdr:colOff>182880</xdr:colOff>
      <xdr:row>21</xdr:row>
      <xdr:rowOff>137160</xdr:rowOff>
    </xdr:from>
    <xdr:to>
      <xdr:col>12</xdr:col>
      <xdr:colOff>281940</xdr:colOff>
      <xdr:row>28</xdr:row>
      <xdr:rowOff>15240</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E666F36A-D180-4D25-8247-5BB2EA6BCBD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669280" y="3977640"/>
              <a:ext cx="192786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21</xdr:row>
      <xdr:rowOff>114301</xdr:rowOff>
    </xdr:from>
    <xdr:to>
      <xdr:col>6</xdr:col>
      <xdr:colOff>76200</xdr:colOff>
      <xdr:row>28</xdr:row>
      <xdr:rowOff>15241</xdr:rowOff>
    </xdr:to>
    <mc:AlternateContent xmlns:mc="http://schemas.openxmlformats.org/markup-compatibility/2006">
      <mc:Choice xmlns:a14="http://schemas.microsoft.com/office/drawing/2010/main" Requires="a14">
        <xdr:graphicFrame macro="">
          <xdr:nvGraphicFramePr>
            <xdr:cNvPr id="6" name="Health Status 1">
              <a:extLst>
                <a:ext uri="{FF2B5EF4-FFF2-40B4-BE49-F238E27FC236}">
                  <a16:creationId xmlns:a16="http://schemas.microsoft.com/office/drawing/2014/main" id="{2121F57A-AEEF-437A-B93E-6801DD24281A}"/>
                </a:ext>
              </a:extLst>
            </xdr:cNvPr>
            <xdr:cNvGraphicFramePr/>
          </xdr:nvGraphicFramePr>
          <xdr:xfrm>
            <a:off x="0" y="0"/>
            <a:ext cx="0" cy="0"/>
          </xdr:xfrm>
          <a:graphic>
            <a:graphicData uri="http://schemas.microsoft.com/office/drawing/2010/slicer">
              <sle:slicer xmlns:sle="http://schemas.microsoft.com/office/drawing/2010/slicer" name="Health Status 1"/>
            </a:graphicData>
          </a:graphic>
        </xdr:graphicFrame>
      </mc:Choice>
      <mc:Fallback>
        <xdr:sp macro="" textlink="">
          <xdr:nvSpPr>
            <xdr:cNvPr id="0" name=""/>
            <xdr:cNvSpPr>
              <a:spLocks noTextEdit="1"/>
            </xdr:cNvSpPr>
          </xdr:nvSpPr>
          <xdr:spPr>
            <a:xfrm>
              <a:off x="1905000" y="395478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7</xdr:row>
      <xdr:rowOff>30480</xdr:rowOff>
    </xdr:from>
    <xdr:to>
      <xdr:col>7</xdr:col>
      <xdr:colOff>106680</xdr:colOff>
      <xdr:row>20</xdr:row>
      <xdr:rowOff>152400</xdr:rowOff>
    </xdr:to>
    <xdr:graphicFrame macro="">
      <xdr:nvGraphicFramePr>
        <xdr:cNvPr id="7" name="Chart 6">
          <a:extLst>
            <a:ext uri="{FF2B5EF4-FFF2-40B4-BE49-F238E27FC236}">
              <a16:creationId xmlns:a16="http://schemas.microsoft.com/office/drawing/2014/main" id="{AE809361-79C6-4907-AA83-2EFB11512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7</xdr:row>
      <xdr:rowOff>22860</xdr:rowOff>
    </xdr:from>
    <xdr:to>
      <xdr:col>13</xdr:col>
      <xdr:colOff>464820</xdr:colOff>
      <xdr:row>20</xdr:row>
      <xdr:rowOff>144780</xdr:rowOff>
    </xdr:to>
    <xdr:graphicFrame macro="">
      <xdr:nvGraphicFramePr>
        <xdr:cNvPr id="8" name="Chart 7">
          <a:extLst>
            <a:ext uri="{FF2B5EF4-FFF2-40B4-BE49-F238E27FC236}">
              <a16:creationId xmlns:a16="http://schemas.microsoft.com/office/drawing/2014/main" id="{A70479FA-08BE-4335-A6CD-09CF944B7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99.500904745371" createdVersion="8" refreshedVersion="8" minRefreshableVersion="3" recordCount="100" xr:uid="{A837F008-43AD-4680-B815-66934C81E33C}">
  <cacheSource type="worksheet">
    <worksheetSource name="Table1"/>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BMI" numFmtId="0">
      <sharedItems containsSemiMixedTypes="0" containsString="0" containsNumber="1" minValue="22.976143918654675" maxValue="45.141946968987156"/>
    </cacheField>
    <cacheField name="Health Status" numFmtId="0">
      <sharedItems count="3">
        <s v="Obesity"/>
        <s v="Overweight"/>
        <s v="Healthy Weight"/>
      </sharedItems>
    </cacheField>
    <cacheField name="Age Group" numFmtId="0">
      <sharedItems count="3">
        <s v="37-48 Months"/>
        <s v="24-36 Months"/>
        <s v="Above 48 Months"/>
      </sharedItems>
    </cacheField>
  </cacheFields>
  <extLst>
    <ext xmlns:x14="http://schemas.microsoft.com/office/spreadsheetml/2009/9/main" uri="{725AE2AE-9491-48be-B2B4-4EB974FC3084}">
      <x14:pivotCacheDefinition pivotCacheId="2090245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n v="47"/>
    <x v="0"/>
    <n v="104.41"/>
    <n v="17.34"/>
    <x v="0"/>
    <x v="0"/>
    <n v="3"/>
    <x v="0"/>
    <x v="0"/>
    <n v="33.215209271142612"/>
    <x v="0"/>
    <x v="0"/>
  </r>
  <r>
    <s v="C002"/>
    <n v="34"/>
    <x v="0"/>
    <n v="99.08"/>
    <n v="16.21"/>
    <x v="1"/>
    <x v="1"/>
    <n v="1"/>
    <x v="1"/>
    <x v="1"/>
    <n v="32.721033508276143"/>
    <x v="0"/>
    <x v="1"/>
  </r>
  <r>
    <s v="C003"/>
    <n v="35"/>
    <x v="0"/>
    <n v="94.96"/>
    <n v="17.3"/>
    <x v="2"/>
    <x v="2"/>
    <n v="2"/>
    <x v="2"/>
    <x v="1"/>
    <n v="36.436394271272121"/>
    <x v="0"/>
    <x v="1"/>
  </r>
  <r>
    <s v="C004"/>
    <n v="39"/>
    <x v="0"/>
    <n v="100.65"/>
    <n v="20.010000000000002"/>
    <x v="3"/>
    <x v="3"/>
    <n v="1"/>
    <x v="3"/>
    <x v="1"/>
    <n v="39.76154992548436"/>
    <x v="0"/>
    <x v="0"/>
  </r>
  <r>
    <s v="C005"/>
    <n v="26"/>
    <x v="0"/>
    <n v="90.06"/>
    <n v="12.16"/>
    <x v="1"/>
    <x v="1"/>
    <n v="0"/>
    <x v="4"/>
    <x v="0"/>
    <n v="27.004219409282697"/>
    <x v="1"/>
    <x v="1"/>
  </r>
  <r>
    <s v="C006"/>
    <n v="51"/>
    <x v="1"/>
    <n v="108.82"/>
    <n v="21.54"/>
    <x v="1"/>
    <x v="1"/>
    <n v="1"/>
    <x v="4"/>
    <x v="2"/>
    <n v="39.588310972247754"/>
    <x v="0"/>
    <x v="2"/>
  </r>
  <r>
    <s v="C007"/>
    <n v="52"/>
    <x v="1"/>
    <n v="110.28"/>
    <n v="21.49"/>
    <x v="4"/>
    <x v="3"/>
    <n v="2"/>
    <x v="5"/>
    <x v="0"/>
    <n v="38.973521944142178"/>
    <x v="0"/>
    <x v="2"/>
  </r>
  <r>
    <s v="C008"/>
    <n v="52"/>
    <x v="0"/>
    <n v="102.65"/>
    <n v="19.55"/>
    <x v="3"/>
    <x v="0"/>
    <n v="1"/>
    <x v="6"/>
    <x v="1"/>
    <n v="38.090599123234291"/>
    <x v="0"/>
    <x v="2"/>
  </r>
  <r>
    <s v="C009"/>
    <n v="28"/>
    <x v="1"/>
    <n v="91.47"/>
    <n v="16.39"/>
    <x v="2"/>
    <x v="0"/>
    <n v="3"/>
    <x v="7"/>
    <x v="3"/>
    <n v="35.836886410845089"/>
    <x v="0"/>
    <x v="1"/>
  </r>
  <r>
    <s v="C010"/>
    <n v="44"/>
    <x v="0"/>
    <n v="111.89"/>
    <n v="17.95"/>
    <x v="0"/>
    <x v="2"/>
    <n v="0"/>
    <x v="7"/>
    <x v="1"/>
    <n v="32.085083564214855"/>
    <x v="0"/>
    <x v="0"/>
  </r>
  <r>
    <s v="C011"/>
    <n v="25"/>
    <x v="1"/>
    <n v="96.25"/>
    <n v="13.5"/>
    <x v="2"/>
    <x v="4"/>
    <n v="0"/>
    <x v="2"/>
    <x v="4"/>
    <n v="28.051948051948052"/>
    <x v="1"/>
    <x v="1"/>
  </r>
  <r>
    <s v="C012"/>
    <n v="32"/>
    <x v="0"/>
    <n v="96.02"/>
    <n v="16.55"/>
    <x v="3"/>
    <x v="3"/>
    <n v="2"/>
    <x v="8"/>
    <x v="3"/>
    <n v="34.471985003124352"/>
    <x v="0"/>
    <x v="1"/>
  </r>
  <r>
    <s v="C013"/>
    <n v="34"/>
    <x v="1"/>
    <n v="97.37"/>
    <n v="15.55"/>
    <x v="1"/>
    <x v="1"/>
    <n v="2"/>
    <x v="6"/>
    <x v="2"/>
    <n v="31.940022594228203"/>
    <x v="0"/>
    <x v="1"/>
  </r>
  <r>
    <s v="C014"/>
    <n v="49"/>
    <x v="1"/>
    <n v="108.39"/>
    <n v="20.100000000000001"/>
    <x v="1"/>
    <x v="0"/>
    <n v="3"/>
    <x v="2"/>
    <x v="2"/>
    <n v="37.088292277885415"/>
    <x v="0"/>
    <x v="2"/>
  </r>
  <r>
    <s v="C015"/>
    <n v="25"/>
    <x v="1"/>
    <n v="92.58"/>
    <n v="15.13"/>
    <x v="3"/>
    <x v="0"/>
    <n v="2"/>
    <x v="9"/>
    <x v="1"/>
    <n v="32.685245193346297"/>
    <x v="0"/>
    <x v="1"/>
  </r>
  <r>
    <s v="C016"/>
    <n v="38"/>
    <x v="1"/>
    <n v="99.65"/>
    <n v="16.940000000000001"/>
    <x v="0"/>
    <x v="2"/>
    <n v="3"/>
    <x v="10"/>
    <x v="1"/>
    <n v="33.998996487706975"/>
    <x v="0"/>
    <x v="0"/>
  </r>
  <r>
    <s v="C017"/>
    <n v="38"/>
    <x v="0"/>
    <n v="98.91"/>
    <n v="19.489999999999998"/>
    <x v="1"/>
    <x v="3"/>
    <n v="3"/>
    <x v="11"/>
    <x v="1"/>
    <n v="39.409564250328579"/>
    <x v="0"/>
    <x v="0"/>
  </r>
  <r>
    <s v="C018"/>
    <n v="25"/>
    <x v="0"/>
    <n v="96.42"/>
    <n v="14.69"/>
    <x v="0"/>
    <x v="2"/>
    <n v="2"/>
    <x v="0"/>
    <x v="3"/>
    <n v="30.470856668740922"/>
    <x v="0"/>
    <x v="1"/>
  </r>
  <r>
    <s v="C019"/>
    <n v="57"/>
    <x v="0"/>
    <n v="109.26"/>
    <n v="20.61"/>
    <x v="2"/>
    <x v="0"/>
    <n v="1"/>
    <x v="12"/>
    <x v="2"/>
    <n v="37.726523887973642"/>
    <x v="0"/>
    <x v="2"/>
  </r>
  <r>
    <s v="C020"/>
    <n v="34"/>
    <x v="1"/>
    <n v="98.22"/>
    <n v="15.49"/>
    <x v="0"/>
    <x v="0"/>
    <n v="0"/>
    <x v="7"/>
    <x v="1"/>
    <n v="31.541437589085728"/>
    <x v="0"/>
    <x v="1"/>
  </r>
  <r>
    <s v="C021"/>
    <n v="35"/>
    <x v="0"/>
    <n v="101.02"/>
    <n v="16.760000000000002"/>
    <x v="2"/>
    <x v="0"/>
    <n v="2"/>
    <x v="13"/>
    <x v="0"/>
    <n v="33.181548208275593"/>
    <x v="0"/>
    <x v="1"/>
  </r>
  <r>
    <s v="C022"/>
    <n v="56"/>
    <x v="1"/>
    <n v="111.44"/>
    <n v="21.87"/>
    <x v="4"/>
    <x v="1"/>
    <n v="2"/>
    <x v="13"/>
    <x v="2"/>
    <n v="39.249820531227563"/>
    <x v="0"/>
    <x v="2"/>
  </r>
  <r>
    <s v="C023"/>
    <n v="46"/>
    <x v="1"/>
    <n v="103.85"/>
    <n v="19.47"/>
    <x v="3"/>
    <x v="4"/>
    <n v="3"/>
    <x v="14"/>
    <x v="2"/>
    <n v="37.49638902262879"/>
    <x v="0"/>
    <x v="0"/>
  </r>
  <r>
    <s v="C024"/>
    <n v="35"/>
    <x v="0"/>
    <n v="102.67"/>
    <n v="13.79"/>
    <x v="4"/>
    <x v="1"/>
    <n v="1"/>
    <x v="12"/>
    <x v="1"/>
    <n v="26.862764195967664"/>
    <x v="1"/>
    <x v="1"/>
  </r>
  <r>
    <s v="C025"/>
    <n v="52"/>
    <x v="1"/>
    <n v="107.91"/>
    <n v="19.27"/>
    <x v="4"/>
    <x v="3"/>
    <n v="0"/>
    <x v="7"/>
    <x v="2"/>
    <n v="35.714947641553145"/>
    <x v="0"/>
    <x v="2"/>
  </r>
  <r>
    <s v="C026"/>
    <n v="30"/>
    <x v="0"/>
    <n v="96.67"/>
    <n v="15.72"/>
    <x v="2"/>
    <x v="1"/>
    <n v="2"/>
    <x v="0"/>
    <x v="3"/>
    <n v="32.523016447708699"/>
    <x v="0"/>
    <x v="1"/>
  </r>
  <r>
    <s v="C027"/>
    <n v="35"/>
    <x v="1"/>
    <n v="101.41"/>
    <n v="19.45"/>
    <x v="1"/>
    <x v="4"/>
    <n v="2"/>
    <x v="13"/>
    <x v="0"/>
    <n v="38.359136179863917"/>
    <x v="0"/>
    <x v="1"/>
  </r>
  <r>
    <s v="C028"/>
    <n v="32"/>
    <x v="0"/>
    <n v="102.28"/>
    <n v="11.75"/>
    <x v="3"/>
    <x v="1"/>
    <n v="1"/>
    <x v="6"/>
    <x v="2"/>
    <n v="22.976143918654675"/>
    <x v="2"/>
    <x v="1"/>
  </r>
  <r>
    <s v="C029"/>
    <n v="46"/>
    <x v="1"/>
    <n v="105.06"/>
    <n v="17.260000000000002"/>
    <x v="4"/>
    <x v="1"/>
    <n v="2"/>
    <x v="7"/>
    <x v="1"/>
    <n v="32.85741481058443"/>
    <x v="0"/>
    <x v="0"/>
  </r>
  <r>
    <s v="C030"/>
    <n v="43"/>
    <x v="1"/>
    <n v="103.22"/>
    <n v="20.74"/>
    <x v="3"/>
    <x v="0"/>
    <n v="3"/>
    <x v="10"/>
    <x v="0"/>
    <n v="40.186010463088543"/>
    <x v="0"/>
    <x v="0"/>
  </r>
  <r>
    <s v="C031"/>
    <n v="46"/>
    <x v="0"/>
    <n v="105.42"/>
    <n v="20.23"/>
    <x v="4"/>
    <x v="3"/>
    <n v="2"/>
    <x v="15"/>
    <x v="4"/>
    <n v="38.37981407702523"/>
    <x v="0"/>
    <x v="0"/>
  </r>
  <r>
    <s v="C032"/>
    <n v="32"/>
    <x v="1"/>
    <n v="97.29"/>
    <n v="12.89"/>
    <x v="4"/>
    <x v="0"/>
    <n v="2"/>
    <x v="6"/>
    <x v="1"/>
    <n v="26.498098468496245"/>
    <x v="1"/>
    <x v="1"/>
  </r>
  <r>
    <s v="C033"/>
    <n v="46"/>
    <x v="1"/>
    <n v="106.22"/>
    <n v="19.48"/>
    <x v="4"/>
    <x v="2"/>
    <n v="0"/>
    <x v="16"/>
    <x v="0"/>
    <n v="36.678591602334777"/>
    <x v="0"/>
    <x v="0"/>
  </r>
  <r>
    <s v="C034"/>
    <n v="56"/>
    <x v="0"/>
    <n v="114.63"/>
    <n v="20.11"/>
    <x v="3"/>
    <x v="1"/>
    <n v="0"/>
    <x v="7"/>
    <x v="4"/>
    <n v="35.086801011951501"/>
    <x v="0"/>
    <x v="2"/>
  </r>
  <r>
    <s v="C035"/>
    <n v="30"/>
    <x v="0"/>
    <n v="93.15"/>
    <n v="14.24"/>
    <x v="0"/>
    <x v="1"/>
    <n v="2"/>
    <x v="6"/>
    <x v="1"/>
    <n v="30.574342458400427"/>
    <x v="0"/>
    <x v="1"/>
  </r>
  <r>
    <s v="C036"/>
    <n v="44"/>
    <x v="0"/>
    <n v="102.36"/>
    <n v="19.600000000000001"/>
    <x v="0"/>
    <x v="0"/>
    <n v="0"/>
    <x v="4"/>
    <x v="4"/>
    <n v="38.296209456819071"/>
    <x v="0"/>
    <x v="0"/>
  </r>
  <r>
    <s v="C037"/>
    <n v="43"/>
    <x v="0"/>
    <n v="105.34"/>
    <n v="14.14"/>
    <x v="4"/>
    <x v="2"/>
    <n v="0"/>
    <x v="7"/>
    <x v="2"/>
    <n v="26.846402126447693"/>
    <x v="1"/>
    <x v="0"/>
  </r>
  <r>
    <s v="C038"/>
    <n v="31"/>
    <x v="0"/>
    <n v="96.26"/>
    <n v="17.63"/>
    <x v="2"/>
    <x v="2"/>
    <n v="2"/>
    <x v="17"/>
    <x v="2"/>
    <n v="36.629960523581964"/>
    <x v="0"/>
    <x v="1"/>
  </r>
  <r>
    <s v="C039"/>
    <n v="28"/>
    <x v="1"/>
    <n v="97.25"/>
    <n v="14.98"/>
    <x v="2"/>
    <x v="4"/>
    <n v="3"/>
    <x v="18"/>
    <x v="1"/>
    <n v="30.807197943444731"/>
    <x v="0"/>
    <x v="1"/>
  </r>
  <r>
    <s v="C040"/>
    <n v="48"/>
    <x v="1"/>
    <n v="108.23"/>
    <n v="21"/>
    <x v="2"/>
    <x v="4"/>
    <n v="0"/>
    <x v="2"/>
    <x v="1"/>
    <n v="38.806245957682712"/>
    <x v="0"/>
    <x v="0"/>
  </r>
  <r>
    <s v="C041"/>
    <n v="27"/>
    <x v="1"/>
    <n v="97"/>
    <n v="15.12"/>
    <x v="4"/>
    <x v="3"/>
    <n v="1"/>
    <x v="17"/>
    <x v="3"/>
    <n v="31.175257731958762"/>
    <x v="0"/>
    <x v="1"/>
  </r>
  <r>
    <s v="C042"/>
    <n v="45"/>
    <x v="1"/>
    <n v="107.27"/>
    <n v="22.7"/>
    <x v="4"/>
    <x v="3"/>
    <n v="0"/>
    <x v="7"/>
    <x v="0"/>
    <n v="42.323109909573972"/>
    <x v="0"/>
    <x v="0"/>
  </r>
  <r>
    <s v="C043"/>
    <n v="54"/>
    <x v="1"/>
    <n v="112.46"/>
    <n v="21.36"/>
    <x v="3"/>
    <x v="3"/>
    <n v="1"/>
    <x v="8"/>
    <x v="1"/>
    <n v="37.986839765249862"/>
    <x v="0"/>
    <x v="2"/>
  </r>
  <r>
    <s v="C044"/>
    <n v="40"/>
    <x v="1"/>
    <n v="103.32"/>
    <n v="17.41"/>
    <x v="0"/>
    <x v="3"/>
    <n v="2"/>
    <x v="12"/>
    <x v="2"/>
    <n v="33.701122725512974"/>
    <x v="0"/>
    <x v="0"/>
  </r>
  <r>
    <s v="C045"/>
    <n v="52"/>
    <x v="0"/>
    <n v="107.31"/>
    <n v="17.34"/>
    <x v="0"/>
    <x v="2"/>
    <n v="0"/>
    <x v="19"/>
    <x v="3"/>
    <n v="32.317584568073805"/>
    <x v="0"/>
    <x v="2"/>
  </r>
  <r>
    <s v="C046"/>
    <n v="34"/>
    <x v="1"/>
    <n v="99.12"/>
    <n v="17.43"/>
    <x v="2"/>
    <x v="4"/>
    <n v="3"/>
    <x v="9"/>
    <x v="0"/>
    <n v="35.169491525423723"/>
    <x v="0"/>
    <x v="1"/>
  </r>
  <r>
    <s v="C047"/>
    <n v="27"/>
    <x v="1"/>
    <n v="93.16"/>
    <n v="15.53"/>
    <x v="3"/>
    <x v="0"/>
    <n v="0"/>
    <x v="7"/>
    <x v="1"/>
    <n v="33.340489480463717"/>
    <x v="0"/>
    <x v="1"/>
  </r>
  <r>
    <s v="C048"/>
    <n v="55"/>
    <x v="1"/>
    <n v="111.49"/>
    <n v="20.23"/>
    <x v="0"/>
    <x v="3"/>
    <n v="1"/>
    <x v="9"/>
    <x v="3"/>
    <n v="36.290250246658893"/>
    <x v="0"/>
    <x v="2"/>
  </r>
  <r>
    <s v="C049"/>
    <n v="42"/>
    <x v="0"/>
    <n v="108.71"/>
    <n v="16.2"/>
    <x v="3"/>
    <x v="1"/>
    <n v="3"/>
    <x v="20"/>
    <x v="3"/>
    <n v="29.804065863306043"/>
    <x v="1"/>
    <x v="0"/>
  </r>
  <r>
    <s v="C050"/>
    <n v="36"/>
    <x v="0"/>
    <n v="97.21"/>
    <n v="13.41"/>
    <x v="4"/>
    <x v="2"/>
    <n v="1"/>
    <x v="4"/>
    <x v="1"/>
    <n v="27.589754140520522"/>
    <x v="1"/>
    <x v="1"/>
  </r>
  <r>
    <s v="C051"/>
    <n v="34"/>
    <x v="0"/>
    <n v="98.46"/>
    <n v="15.38"/>
    <x v="2"/>
    <x v="0"/>
    <n v="2"/>
    <x v="0"/>
    <x v="0"/>
    <n v="31.241113142392855"/>
    <x v="0"/>
    <x v="1"/>
  </r>
  <r>
    <s v="C052"/>
    <n v="40"/>
    <x v="0"/>
    <n v="100.6"/>
    <n v="17.309999999999999"/>
    <x v="1"/>
    <x v="2"/>
    <n v="0"/>
    <x v="2"/>
    <x v="4"/>
    <n v="34.413518886679917"/>
    <x v="0"/>
    <x v="0"/>
  </r>
  <r>
    <s v="C053"/>
    <n v="39"/>
    <x v="0"/>
    <n v="96.54"/>
    <n v="18.239999999999998"/>
    <x v="4"/>
    <x v="2"/>
    <n v="1"/>
    <x v="13"/>
    <x v="4"/>
    <n v="37.787445618396518"/>
    <x v="0"/>
    <x v="0"/>
  </r>
  <r>
    <s v="C054"/>
    <n v="57"/>
    <x v="1"/>
    <n v="110.58"/>
    <n v="21.99"/>
    <x v="2"/>
    <x v="3"/>
    <n v="0"/>
    <x v="4"/>
    <x v="0"/>
    <n v="39.772110689093871"/>
    <x v="0"/>
    <x v="2"/>
  </r>
  <r>
    <s v="C055"/>
    <n v="50"/>
    <x v="0"/>
    <n v="114.47"/>
    <n v="18.010000000000002"/>
    <x v="0"/>
    <x v="2"/>
    <n v="0"/>
    <x v="2"/>
    <x v="3"/>
    <n v="31.466759849742292"/>
    <x v="0"/>
    <x v="2"/>
  </r>
  <r>
    <s v="C056"/>
    <n v="31"/>
    <x v="0"/>
    <n v="96.28"/>
    <n v="16.84"/>
    <x v="4"/>
    <x v="0"/>
    <n v="3"/>
    <x v="19"/>
    <x v="2"/>
    <n v="34.981304528458665"/>
    <x v="0"/>
    <x v="1"/>
  </r>
  <r>
    <s v="C057"/>
    <n v="44"/>
    <x v="0"/>
    <n v="104.76"/>
    <n v="18.399999999999999"/>
    <x v="4"/>
    <x v="0"/>
    <n v="1"/>
    <x v="16"/>
    <x v="0"/>
    <n v="35.127911416571202"/>
    <x v="0"/>
    <x v="0"/>
  </r>
  <r>
    <s v="C058"/>
    <n v="42"/>
    <x v="1"/>
    <n v="105.35"/>
    <n v="19.88"/>
    <x v="0"/>
    <x v="0"/>
    <n v="2"/>
    <x v="5"/>
    <x v="2"/>
    <n v="37.740863787375417"/>
    <x v="0"/>
    <x v="0"/>
  </r>
  <r>
    <s v="C059"/>
    <n v="59"/>
    <x v="1"/>
    <n v="110.75"/>
    <n v="24.56"/>
    <x v="4"/>
    <x v="4"/>
    <n v="1"/>
    <x v="17"/>
    <x v="0"/>
    <n v="44.35214446952596"/>
    <x v="0"/>
    <x v="2"/>
  </r>
  <r>
    <s v="C060"/>
    <n v="56"/>
    <x v="1"/>
    <n v="108"/>
    <n v="22.24"/>
    <x v="3"/>
    <x v="4"/>
    <n v="2"/>
    <x v="20"/>
    <x v="1"/>
    <n v="41.185185185185176"/>
    <x v="0"/>
    <x v="2"/>
  </r>
  <r>
    <s v="C061"/>
    <n v="32"/>
    <x v="0"/>
    <n v="98.63"/>
    <n v="17.96"/>
    <x v="1"/>
    <x v="3"/>
    <n v="2"/>
    <x v="21"/>
    <x v="3"/>
    <n v="36.418939470749265"/>
    <x v="0"/>
    <x v="1"/>
  </r>
  <r>
    <s v="C062"/>
    <n v="47"/>
    <x v="0"/>
    <n v="103.57"/>
    <n v="22.13"/>
    <x v="2"/>
    <x v="0"/>
    <n v="0"/>
    <x v="2"/>
    <x v="0"/>
    <n v="42.734382543207495"/>
    <x v="0"/>
    <x v="0"/>
  </r>
  <r>
    <s v="C063"/>
    <n v="28"/>
    <x v="1"/>
    <n v="92.72"/>
    <n v="15.7"/>
    <x v="4"/>
    <x v="3"/>
    <n v="1"/>
    <x v="19"/>
    <x v="3"/>
    <n v="33.865401207937872"/>
    <x v="0"/>
    <x v="1"/>
  </r>
  <r>
    <s v="C064"/>
    <n v="56"/>
    <x v="1"/>
    <n v="113.3"/>
    <n v="20.45"/>
    <x v="3"/>
    <x v="0"/>
    <n v="2"/>
    <x v="19"/>
    <x v="4"/>
    <n v="36.098852603706973"/>
    <x v="0"/>
    <x v="2"/>
  </r>
  <r>
    <s v="C065"/>
    <n v="38"/>
    <x v="1"/>
    <n v="104.84"/>
    <n v="19.829999999999998"/>
    <x v="4"/>
    <x v="3"/>
    <n v="0"/>
    <x v="7"/>
    <x v="3"/>
    <n v="37.829072872949254"/>
    <x v="0"/>
    <x v="0"/>
  </r>
  <r>
    <s v="C066"/>
    <n v="50"/>
    <x v="0"/>
    <n v="104.56"/>
    <n v="21.62"/>
    <x v="4"/>
    <x v="1"/>
    <n v="1"/>
    <x v="12"/>
    <x v="0"/>
    <n v="41.354246365723029"/>
    <x v="0"/>
    <x v="2"/>
  </r>
  <r>
    <s v="C067"/>
    <n v="27"/>
    <x v="1"/>
    <n v="97.32"/>
    <n v="16.28"/>
    <x v="3"/>
    <x v="4"/>
    <n v="0"/>
    <x v="7"/>
    <x v="0"/>
    <n v="33.456637895602142"/>
    <x v="0"/>
    <x v="1"/>
  </r>
  <r>
    <s v="C068"/>
    <n v="32"/>
    <x v="0"/>
    <n v="103.58"/>
    <n v="15.12"/>
    <x v="4"/>
    <x v="3"/>
    <n v="2"/>
    <x v="22"/>
    <x v="2"/>
    <n v="29.194825255840893"/>
    <x v="1"/>
    <x v="1"/>
  </r>
  <r>
    <s v="C069"/>
    <n v="53"/>
    <x v="1"/>
    <n v="105.92"/>
    <n v="22.98"/>
    <x v="3"/>
    <x v="3"/>
    <n v="0"/>
    <x v="7"/>
    <x v="4"/>
    <n v="43.391238670694868"/>
    <x v="0"/>
    <x v="2"/>
  </r>
  <r>
    <s v="C070"/>
    <n v="33"/>
    <x v="1"/>
    <n v="104.76"/>
    <n v="13.89"/>
    <x v="2"/>
    <x v="4"/>
    <n v="0"/>
    <x v="19"/>
    <x v="2"/>
    <n v="26.51775486827033"/>
    <x v="1"/>
    <x v="1"/>
  </r>
  <r>
    <s v="C071"/>
    <n v="49"/>
    <x v="1"/>
    <n v="108.22"/>
    <n v="19.55"/>
    <x v="0"/>
    <x v="1"/>
    <n v="2"/>
    <x v="9"/>
    <x v="2"/>
    <n v="36.130105340972094"/>
    <x v="0"/>
    <x v="2"/>
  </r>
  <r>
    <s v="C072"/>
    <n v="32"/>
    <x v="0"/>
    <n v="97.69"/>
    <n v="18.04"/>
    <x v="2"/>
    <x v="0"/>
    <n v="2"/>
    <x v="23"/>
    <x v="0"/>
    <n v="36.933155901320504"/>
    <x v="0"/>
    <x v="1"/>
  </r>
  <r>
    <s v="C073"/>
    <n v="52"/>
    <x v="0"/>
    <n v="104.99"/>
    <n v="22.77"/>
    <x v="2"/>
    <x v="0"/>
    <n v="1"/>
    <x v="20"/>
    <x v="1"/>
    <n v="43.375559577102578"/>
    <x v="0"/>
    <x v="2"/>
  </r>
  <r>
    <s v="C074"/>
    <n v="25"/>
    <x v="1"/>
    <n v="88.93"/>
    <n v="15.5"/>
    <x v="2"/>
    <x v="3"/>
    <n v="3"/>
    <x v="24"/>
    <x v="1"/>
    <n v="34.858877769031821"/>
    <x v="0"/>
    <x v="1"/>
  </r>
  <r>
    <s v="C075"/>
    <n v="41"/>
    <x v="0"/>
    <n v="105.5"/>
    <n v="20.18"/>
    <x v="0"/>
    <x v="4"/>
    <n v="3"/>
    <x v="13"/>
    <x v="3"/>
    <n v="38.255924170616119"/>
    <x v="0"/>
    <x v="0"/>
  </r>
  <r>
    <s v="C076"/>
    <n v="38"/>
    <x v="1"/>
    <n v="101.47"/>
    <n v="15.96"/>
    <x v="0"/>
    <x v="1"/>
    <n v="0"/>
    <x v="7"/>
    <x v="0"/>
    <n v="31.457573667093726"/>
    <x v="0"/>
    <x v="0"/>
  </r>
  <r>
    <s v="C077"/>
    <n v="46"/>
    <x v="1"/>
    <n v="103.84"/>
    <n v="17.13"/>
    <x v="1"/>
    <x v="4"/>
    <n v="1"/>
    <x v="16"/>
    <x v="2"/>
    <n v="32.993066255778118"/>
    <x v="0"/>
    <x v="0"/>
  </r>
  <r>
    <s v="C078"/>
    <n v="45"/>
    <x v="1"/>
    <n v="103.74"/>
    <n v="18.21"/>
    <x v="0"/>
    <x v="2"/>
    <n v="0"/>
    <x v="19"/>
    <x v="2"/>
    <n v="35.106998264893008"/>
    <x v="0"/>
    <x v="0"/>
  </r>
  <r>
    <s v="C079"/>
    <n v="48"/>
    <x v="1"/>
    <n v="101.32"/>
    <n v="21.93"/>
    <x v="4"/>
    <x v="0"/>
    <n v="2"/>
    <x v="5"/>
    <x v="1"/>
    <n v="43.288590604026851"/>
    <x v="0"/>
    <x v="0"/>
  </r>
  <r>
    <s v="C080"/>
    <n v="54"/>
    <x v="0"/>
    <n v="109.83"/>
    <n v="21.35"/>
    <x v="2"/>
    <x v="0"/>
    <n v="1"/>
    <x v="16"/>
    <x v="3"/>
    <n v="38.878266411727218"/>
    <x v="0"/>
    <x v="2"/>
  </r>
  <r>
    <s v="C081"/>
    <n v="49"/>
    <x v="1"/>
    <n v="112.98"/>
    <n v="18.22"/>
    <x v="2"/>
    <x v="1"/>
    <n v="1"/>
    <x v="17"/>
    <x v="0"/>
    <n v="32.253496194016634"/>
    <x v="0"/>
    <x v="2"/>
  </r>
  <r>
    <s v="C082"/>
    <n v="45"/>
    <x v="0"/>
    <n v="104.87"/>
    <n v="19.66"/>
    <x v="0"/>
    <x v="4"/>
    <n v="2"/>
    <x v="20"/>
    <x v="4"/>
    <n v="37.494040240297515"/>
    <x v="0"/>
    <x v="0"/>
  </r>
  <r>
    <s v="C083"/>
    <n v="30"/>
    <x v="1"/>
    <n v="100.81"/>
    <n v="14.39"/>
    <x v="3"/>
    <x v="4"/>
    <n v="2"/>
    <x v="21"/>
    <x v="0"/>
    <n v="28.54875508382105"/>
    <x v="1"/>
    <x v="1"/>
  </r>
  <r>
    <s v="C084"/>
    <n v="29"/>
    <x v="0"/>
    <n v="101.16"/>
    <n v="14.14"/>
    <x v="3"/>
    <x v="0"/>
    <n v="3"/>
    <x v="6"/>
    <x v="0"/>
    <n v="27.955713720838276"/>
    <x v="1"/>
    <x v="1"/>
  </r>
  <r>
    <s v="C085"/>
    <n v="57"/>
    <x v="0"/>
    <n v="115.19"/>
    <n v="20.76"/>
    <x v="0"/>
    <x v="4"/>
    <n v="0"/>
    <x v="8"/>
    <x v="0"/>
    <n v="36.044795555169728"/>
    <x v="0"/>
    <x v="2"/>
  </r>
  <r>
    <s v="C086"/>
    <n v="56"/>
    <x v="1"/>
    <n v="110.72"/>
    <n v="20.149999999999999"/>
    <x v="1"/>
    <x v="1"/>
    <n v="1"/>
    <x v="12"/>
    <x v="4"/>
    <n v="36.398121387283233"/>
    <x v="0"/>
    <x v="2"/>
  </r>
  <r>
    <s v="C087"/>
    <n v="56"/>
    <x v="0"/>
    <n v="106.73"/>
    <n v="24.09"/>
    <x v="1"/>
    <x v="1"/>
    <n v="3"/>
    <x v="17"/>
    <x v="4"/>
    <n v="45.141946968987156"/>
    <x v="0"/>
    <x v="2"/>
  </r>
  <r>
    <s v="C088"/>
    <n v="25"/>
    <x v="0"/>
    <n v="99.72"/>
    <n v="14.9"/>
    <x v="4"/>
    <x v="0"/>
    <n v="3"/>
    <x v="23"/>
    <x v="1"/>
    <n v="29.883674288006418"/>
    <x v="1"/>
    <x v="1"/>
  </r>
  <r>
    <s v="C089"/>
    <n v="30"/>
    <x v="0"/>
    <n v="96.45"/>
    <n v="14.77"/>
    <x v="4"/>
    <x v="0"/>
    <n v="0"/>
    <x v="2"/>
    <x v="3"/>
    <n v="30.627268014515291"/>
    <x v="0"/>
    <x v="1"/>
  </r>
  <r>
    <s v="C090"/>
    <n v="53"/>
    <x v="1"/>
    <n v="106.44"/>
    <n v="20.73"/>
    <x v="4"/>
    <x v="2"/>
    <n v="2"/>
    <x v="12"/>
    <x v="0"/>
    <n v="38.951521984216463"/>
    <x v="0"/>
    <x v="2"/>
  </r>
  <r>
    <s v="C091"/>
    <n v="29"/>
    <x v="0"/>
    <n v="97.77"/>
    <n v="15.72"/>
    <x v="3"/>
    <x v="3"/>
    <n v="0"/>
    <x v="4"/>
    <x v="0"/>
    <n v="32.157103405952746"/>
    <x v="0"/>
    <x v="1"/>
  </r>
  <r>
    <s v="C092"/>
    <n v="58"/>
    <x v="1"/>
    <n v="113.49"/>
    <n v="25.26"/>
    <x v="1"/>
    <x v="4"/>
    <n v="3"/>
    <x v="25"/>
    <x v="4"/>
    <n v="44.514935236584726"/>
    <x v="0"/>
    <x v="2"/>
  </r>
  <r>
    <s v="C093"/>
    <n v="26"/>
    <x v="1"/>
    <n v="92.08"/>
    <n v="15.29"/>
    <x v="4"/>
    <x v="1"/>
    <n v="2"/>
    <x v="21"/>
    <x v="2"/>
    <n v="33.210251954821892"/>
    <x v="0"/>
    <x v="1"/>
  </r>
  <r>
    <s v="C094"/>
    <n v="25"/>
    <x v="0"/>
    <n v="96.42"/>
    <n v="15.34"/>
    <x v="4"/>
    <x v="2"/>
    <n v="2"/>
    <x v="4"/>
    <x v="2"/>
    <n v="31.819124662933"/>
    <x v="0"/>
    <x v="1"/>
  </r>
  <r>
    <s v="C095"/>
    <n v="59"/>
    <x v="0"/>
    <n v="108.1"/>
    <n v="19.25"/>
    <x v="0"/>
    <x v="3"/>
    <n v="1"/>
    <x v="8"/>
    <x v="0"/>
    <n v="35.61517113783534"/>
    <x v="0"/>
    <x v="2"/>
  </r>
  <r>
    <s v="C096"/>
    <n v="50"/>
    <x v="0"/>
    <n v="109.15"/>
    <n v="22.09"/>
    <x v="0"/>
    <x v="4"/>
    <n v="0"/>
    <x v="2"/>
    <x v="1"/>
    <n v="40.476408612001826"/>
    <x v="0"/>
    <x v="2"/>
  </r>
  <r>
    <s v="C097"/>
    <n v="48"/>
    <x v="1"/>
    <n v="107.71"/>
    <n v="19.079999999999998"/>
    <x v="1"/>
    <x v="0"/>
    <n v="2"/>
    <x v="22"/>
    <x v="2"/>
    <n v="35.428465323553986"/>
    <x v="0"/>
    <x v="0"/>
  </r>
  <r>
    <s v="C098"/>
    <n v="57"/>
    <x v="1"/>
    <n v="112.41"/>
    <n v="21.55"/>
    <x v="3"/>
    <x v="4"/>
    <n v="0"/>
    <x v="4"/>
    <x v="0"/>
    <n v="38.341784538742111"/>
    <x v="0"/>
    <x v="2"/>
  </r>
  <r>
    <s v="C099"/>
    <n v="45"/>
    <x v="1"/>
    <n v="110.12"/>
    <n v="18.510000000000002"/>
    <x v="1"/>
    <x v="0"/>
    <n v="0"/>
    <x v="4"/>
    <x v="3"/>
    <n v="33.617871413003996"/>
    <x v="0"/>
    <x v="0"/>
  </r>
  <r>
    <s v="C100"/>
    <n v="49"/>
    <x v="1"/>
    <n v="106.6"/>
    <n v="21.21"/>
    <x v="1"/>
    <x v="3"/>
    <n v="2"/>
    <x v="26"/>
    <x v="3"/>
    <n v="39.793621013133219"/>
    <x v="0"/>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891A4C-7344-4343-AD62-E3BAD08AF1E8}" sourceName="Gender">
  <data>
    <tabular pivotCacheId="20902454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9AE2E091-F3D6-41C3-8A33-26EFDC36438C}" sourceName="Health Status">
  <data>
    <tabular pivotCacheId="2090245446">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4B4C41E-A43E-41CD-A2FB-3C06924CA827}" cache="Slicer_Gender" caption="Gender" rowHeight="234950"/>
  <slicer name="Health Status 1" xr10:uid="{21D098A1-8EE0-45E0-BDA4-3EC953C9BD81}" cache="Slicer_Health_Status" caption="Health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10CA9-BA5B-4EC8-A4D4-0D1B3469D9FB}" name="Table1" displayName="Table1" ref="A1:M101" totalsRowShown="0" headerRowDxfId="13" headerRowBorderDxfId="15" tableBorderDxfId="16" totalsRowBorderDxfId="14">
  <autoFilter ref="A1:M101" xr:uid="{16710CA9-BA5B-4EC8-A4D4-0D1B3469D9FB}"/>
  <tableColumns count="13">
    <tableColumn id="1" xr3:uid="{858D971F-D05F-4C4F-A8B3-F309703A4300}" name="ChildID" dataDxfId="12"/>
    <tableColumn id="2" xr3:uid="{59F43FCB-58B8-41D3-9E84-DAEB8164D346}" name="Age_Months" dataDxfId="11"/>
    <tableColumn id="3" xr3:uid="{B2430032-A42D-4D5A-B651-92F36347F8B2}" name="Gender" dataDxfId="10"/>
    <tableColumn id="4" xr3:uid="{D06296CA-C88D-4A88-84BA-B6E85E1CF71C}" name="Height_cm" dataDxfId="9"/>
    <tableColumn id="5" xr3:uid="{37BBE27E-2BD2-44FC-A1DE-2E4465BC5EB1}" name="Weight_kg" dataDxfId="8"/>
    <tableColumn id="6" xr3:uid="{EAFFF333-9F50-4B5E-9391-BC3F0C82E5B8}" name="Daily_Fruit_Servings" dataDxfId="7"/>
    <tableColumn id="7" xr3:uid="{A67B5643-BEBC-4A46-AD89-5C32B3CFC1A9}" name="Daily_Veggie_Servings" dataDxfId="6"/>
    <tableColumn id="8" xr3:uid="{391FEA48-EDC2-471B-9ED7-B817DF599EFE}" name="Daily_Sugar_Drinks" dataDxfId="5"/>
    <tableColumn id="9" xr3:uid="{DF8B59DA-81DC-48EE-99B2-C2FA9B064C7D}" name="ScreenTime_Hours" dataDxfId="4"/>
    <tableColumn id="10" xr3:uid="{8DE4DB52-4A45-4FFF-A3AB-A3E9C62B9DC6}" name="Region" dataDxfId="3"/>
    <tableColumn id="11" xr3:uid="{1DDC46A2-332E-4FCA-9E53-887E071BF5F7}" name="BMI" dataDxfId="2">
      <calculatedColumnFormula>Table1[[#This Row],[Weight_kg]]/(Table1[[#This Row],[Height_cm]]/100)*2</calculatedColumnFormula>
    </tableColumn>
    <tableColumn id="12" xr3:uid="{4CACDE7D-A287-43B8-AF94-D08433CF26B8}" name="Health Status" dataDxfId="1">
      <calculatedColumnFormula array="1">_xlfn.IFS(Table1[[#This Row],[BMI]]&lt;18.5,"Under Weight",Table1[[#This Row],[BMI]]&lt;24.9,"Healthy Weight",Table1[[#This Row],[BMI]]&lt;29.9,"Overweight",Table1[[#This Row],[BMI]]&gt;=30,"Obesity")</calculatedColumnFormula>
    </tableColumn>
    <tableColumn id="13" xr3:uid="{91F9AA7A-AAD7-4294-9FDD-0D284175D141}" name="Age Group" dataDxfId="0">
      <calculatedColumnFormula array="1">_xlfn.IFS(Table1[[#This Row],[Age_Months]]&lt;=36,"24-36 Months",Table1[[#This Row],[Age_Months]]&lt;=48,"37-48 Months",Table1[[#This Row],[Age_Months]]&gt;48,"Above 48 Months")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selection sqref="A1:XFD1048576"/>
    </sheetView>
  </sheetViews>
  <sheetFormatPr defaultRowHeight="14.4" x14ac:dyDescent="0.3"/>
  <cols>
    <col min="1" max="1" width="6.77734375" bestFit="1" customWidth="1"/>
    <col min="2" max="2" width="11.21875" bestFit="1" customWidth="1"/>
    <col min="3" max="3" width="6.88671875" bestFit="1" customWidth="1"/>
    <col min="4" max="4" width="9.6640625" bestFit="1" customWidth="1"/>
    <col min="5" max="5" width="9.5546875" bestFit="1" customWidth="1"/>
    <col min="6" max="6" width="17.44140625" bestFit="1" customWidth="1"/>
    <col min="7" max="7" width="19.109375" bestFit="1" customWidth="1"/>
    <col min="8" max="8" width="16.5546875" bestFit="1" customWidth="1"/>
    <col min="9" max="9" width="16.33203125" bestFit="1" customWidth="1"/>
    <col min="10" max="10" width="6.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1" t="s">
        <v>10</v>
      </c>
      <c r="B2" s="1">
        <v>47</v>
      </c>
      <c r="C2" s="1" t="s">
        <v>11</v>
      </c>
      <c r="D2" s="1">
        <v>104.41</v>
      </c>
      <c r="E2" s="1">
        <v>17.34</v>
      </c>
      <c r="F2" s="1">
        <v>1</v>
      </c>
      <c r="G2" s="1">
        <v>2</v>
      </c>
      <c r="H2" s="1">
        <v>3</v>
      </c>
      <c r="I2" s="1">
        <v>1.2</v>
      </c>
      <c r="J2" s="1" t="s">
        <v>12</v>
      </c>
    </row>
    <row r="3" spans="1:10" x14ac:dyDescent="0.3">
      <c r="A3" s="1" t="s">
        <v>13</v>
      </c>
      <c r="B3" s="1">
        <v>34</v>
      </c>
      <c r="C3" s="1" t="s">
        <v>11</v>
      </c>
      <c r="D3" s="1">
        <v>99.08</v>
      </c>
      <c r="E3" s="1">
        <v>16.21</v>
      </c>
      <c r="F3" s="1">
        <v>0</v>
      </c>
      <c r="G3" s="1">
        <v>1</v>
      </c>
      <c r="H3" s="1">
        <v>1</v>
      </c>
      <c r="I3" s="1">
        <v>1.4</v>
      </c>
      <c r="J3" s="1" t="s">
        <v>14</v>
      </c>
    </row>
    <row r="4" spans="1:10" x14ac:dyDescent="0.3">
      <c r="A4" s="1" t="s">
        <v>15</v>
      </c>
      <c r="B4" s="1">
        <v>35</v>
      </c>
      <c r="C4" s="1" t="s">
        <v>11</v>
      </c>
      <c r="D4" s="1">
        <v>94.96</v>
      </c>
      <c r="E4" s="1">
        <v>17.3</v>
      </c>
      <c r="F4" s="1">
        <v>3</v>
      </c>
      <c r="G4" s="1">
        <v>3</v>
      </c>
      <c r="H4" s="1">
        <v>2</v>
      </c>
      <c r="I4" s="1">
        <v>0.6</v>
      </c>
      <c r="J4" s="1" t="s">
        <v>14</v>
      </c>
    </row>
    <row r="5" spans="1:10" x14ac:dyDescent="0.3">
      <c r="A5" s="1" t="s">
        <v>16</v>
      </c>
      <c r="B5" s="1">
        <v>39</v>
      </c>
      <c r="C5" s="1" t="s">
        <v>11</v>
      </c>
      <c r="D5" s="1">
        <v>100.65</v>
      </c>
      <c r="E5" s="1">
        <v>20.010000000000002</v>
      </c>
      <c r="F5" s="1">
        <v>2</v>
      </c>
      <c r="G5" s="1">
        <v>0</v>
      </c>
      <c r="H5" s="1">
        <v>1</v>
      </c>
      <c r="I5" s="1">
        <v>1.5</v>
      </c>
      <c r="J5" s="1" t="s">
        <v>14</v>
      </c>
    </row>
    <row r="6" spans="1:10" x14ac:dyDescent="0.3">
      <c r="A6" s="1" t="s">
        <v>17</v>
      </c>
      <c r="B6" s="1">
        <v>26</v>
      </c>
      <c r="C6" s="1" t="s">
        <v>11</v>
      </c>
      <c r="D6" s="1">
        <v>90.06</v>
      </c>
      <c r="E6" s="1">
        <v>12.16</v>
      </c>
      <c r="F6" s="1">
        <v>0</v>
      </c>
      <c r="G6" s="1">
        <v>1</v>
      </c>
      <c r="H6" s="1">
        <v>0</v>
      </c>
      <c r="I6" s="1">
        <v>0.9</v>
      </c>
      <c r="J6" s="1" t="s">
        <v>12</v>
      </c>
    </row>
    <row r="7" spans="1:10" x14ac:dyDescent="0.3">
      <c r="A7" s="1" t="s">
        <v>18</v>
      </c>
      <c r="B7" s="1">
        <v>51</v>
      </c>
      <c r="C7" s="1" t="s">
        <v>19</v>
      </c>
      <c r="D7" s="1">
        <v>108.82</v>
      </c>
      <c r="E7" s="1">
        <v>21.54</v>
      </c>
      <c r="F7" s="1">
        <v>0</v>
      </c>
      <c r="G7" s="1">
        <v>1</v>
      </c>
      <c r="H7" s="1">
        <v>1</v>
      </c>
      <c r="I7" s="1">
        <v>0.9</v>
      </c>
      <c r="J7" s="1" t="s">
        <v>20</v>
      </c>
    </row>
    <row r="8" spans="1:10" x14ac:dyDescent="0.3">
      <c r="A8" s="1" t="s">
        <v>21</v>
      </c>
      <c r="B8" s="1">
        <v>52</v>
      </c>
      <c r="C8" s="1" t="s">
        <v>19</v>
      </c>
      <c r="D8" s="1">
        <v>110.28</v>
      </c>
      <c r="E8" s="1">
        <v>21.49</v>
      </c>
      <c r="F8" s="1">
        <v>4</v>
      </c>
      <c r="G8" s="1">
        <v>0</v>
      </c>
      <c r="H8" s="1">
        <v>2</v>
      </c>
      <c r="I8" s="1">
        <v>2.8</v>
      </c>
      <c r="J8" s="1" t="s">
        <v>12</v>
      </c>
    </row>
    <row r="9" spans="1:10" x14ac:dyDescent="0.3">
      <c r="A9" s="1" t="s">
        <v>22</v>
      </c>
      <c r="B9" s="1">
        <v>52</v>
      </c>
      <c r="C9" s="1" t="s">
        <v>11</v>
      </c>
      <c r="D9" s="1">
        <v>102.65</v>
      </c>
      <c r="E9" s="1">
        <v>19.55</v>
      </c>
      <c r="F9" s="1">
        <v>2</v>
      </c>
      <c r="G9" s="1">
        <v>2</v>
      </c>
      <c r="H9" s="1">
        <v>1</v>
      </c>
      <c r="I9" s="1">
        <v>1.3</v>
      </c>
      <c r="J9" s="1" t="s">
        <v>14</v>
      </c>
    </row>
    <row r="10" spans="1:10" x14ac:dyDescent="0.3">
      <c r="A10" s="1" t="s">
        <v>23</v>
      </c>
      <c r="B10" s="1">
        <v>28</v>
      </c>
      <c r="C10" s="1" t="s">
        <v>19</v>
      </c>
      <c r="D10" s="1">
        <v>91.47</v>
      </c>
      <c r="E10" s="1">
        <v>16.39</v>
      </c>
      <c r="F10" s="1">
        <v>3</v>
      </c>
      <c r="G10" s="1">
        <v>2</v>
      </c>
      <c r="H10" s="1">
        <v>3</v>
      </c>
      <c r="I10" s="1">
        <v>0.8</v>
      </c>
      <c r="J10" s="1" t="s">
        <v>24</v>
      </c>
    </row>
    <row r="11" spans="1:10" x14ac:dyDescent="0.3">
      <c r="A11" s="1" t="s">
        <v>25</v>
      </c>
      <c r="B11" s="1">
        <v>44</v>
      </c>
      <c r="C11" s="1" t="s">
        <v>11</v>
      </c>
      <c r="D11" s="1">
        <v>111.89</v>
      </c>
      <c r="E11" s="1">
        <v>17.95</v>
      </c>
      <c r="F11" s="1">
        <v>1</v>
      </c>
      <c r="G11" s="1">
        <v>3</v>
      </c>
      <c r="H11" s="1">
        <v>0</v>
      </c>
      <c r="I11" s="1">
        <v>0.8</v>
      </c>
      <c r="J11" s="1" t="s">
        <v>14</v>
      </c>
    </row>
    <row r="12" spans="1:10" x14ac:dyDescent="0.3">
      <c r="A12" s="1" t="s">
        <v>26</v>
      </c>
      <c r="B12" s="1">
        <v>25</v>
      </c>
      <c r="C12" s="1" t="s">
        <v>19</v>
      </c>
      <c r="D12" s="1">
        <v>96.25</v>
      </c>
      <c r="E12" s="1">
        <v>13.5</v>
      </c>
      <c r="F12" s="1">
        <v>3</v>
      </c>
      <c r="G12" s="1">
        <v>4</v>
      </c>
      <c r="H12" s="1">
        <v>0</v>
      </c>
      <c r="I12" s="1">
        <v>0.6</v>
      </c>
      <c r="J12" s="1" t="s">
        <v>27</v>
      </c>
    </row>
    <row r="13" spans="1:10" x14ac:dyDescent="0.3">
      <c r="A13" s="1" t="s">
        <v>28</v>
      </c>
      <c r="B13" s="1">
        <v>32</v>
      </c>
      <c r="C13" s="1" t="s">
        <v>11</v>
      </c>
      <c r="D13" s="1">
        <v>96.02</v>
      </c>
      <c r="E13" s="1">
        <v>16.55</v>
      </c>
      <c r="F13" s="1">
        <v>2</v>
      </c>
      <c r="G13" s="1">
        <v>0</v>
      </c>
      <c r="H13" s="1">
        <v>2</v>
      </c>
      <c r="I13" s="1">
        <v>1</v>
      </c>
      <c r="J13" s="1" t="s">
        <v>24</v>
      </c>
    </row>
    <row r="14" spans="1:10" x14ac:dyDescent="0.3">
      <c r="A14" s="1" t="s">
        <v>29</v>
      </c>
      <c r="B14" s="1">
        <v>34</v>
      </c>
      <c r="C14" s="1" t="s">
        <v>19</v>
      </c>
      <c r="D14" s="1">
        <v>97.37</v>
      </c>
      <c r="E14" s="1">
        <v>15.55</v>
      </c>
      <c r="F14" s="1">
        <v>0</v>
      </c>
      <c r="G14" s="1">
        <v>1</v>
      </c>
      <c r="H14" s="1">
        <v>2</v>
      </c>
      <c r="I14" s="1">
        <v>1.3</v>
      </c>
      <c r="J14" s="1" t="s">
        <v>20</v>
      </c>
    </row>
    <row r="15" spans="1:10" x14ac:dyDescent="0.3">
      <c r="A15" s="1" t="s">
        <v>30</v>
      </c>
      <c r="B15" s="1">
        <v>49</v>
      </c>
      <c r="C15" s="1" t="s">
        <v>19</v>
      </c>
      <c r="D15" s="1">
        <v>108.39</v>
      </c>
      <c r="E15" s="1">
        <v>20.100000000000001</v>
      </c>
      <c r="F15" s="1">
        <v>0</v>
      </c>
      <c r="G15" s="1">
        <v>2</v>
      </c>
      <c r="H15" s="1">
        <v>3</v>
      </c>
      <c r="I15" s="1">
        <v>0.6</v>
      </c>
      <c r="J15" s="1" t="s">
        <v>20</v>
      </c>
    </row>
    <row r="16" spans="1:10" x14ac:dyDescent="0.3">
      <c r="A16" s="1" t="s">
        <v>31</v>
      </c>
      <c r="B16" s="1">
        <v>25</v>
      </c>
      <c r="C16" s="1" t="s">
        <v>19</v>
      </c>
      <c r="D16" s="1">
        <v>92.58</v>
      </c>
      <c r="E16" s="1">
        <v>15.13</v>
      </c>
      <c r="F16" s="1">
        <v>2</v>
      </c>
      <c r="G16" s="1">
        <v>2</v>
      </c>
      <c r="H16" s="1">
        <v>2</v>
      </c>
      <c r="I16" s="1">
        <v>1.6</v>
      </c>
      <c r="J16" s="1" t="s">
        <v>14</v>
      </c>
    </row>
    <row r="17" spans="1:10" x14ac:dyDescent="0.3">
      <c r="A17" s="1" t="s">
        <v>32</v>
      </c>
      <c r="B17" s="1">
        <v>38</v>
      </c>
      <c r="C17" s="1" t="s">
        <v>19</v>
      </c>
      <c r="D17" s="1">
        <v>99.65</v>
      </c>
      <c r="E17" s="1">
        <v>16.940000000000001</v>
      </c>
      <c r="F17" s="1">
        <v>1</v>
      </c>
      <c r="G17" s="1">
        <v>3</v>
      </c>
      <c r="H17" s="1">
        <v>3</v>
      </c>
      <c r="I17" s="1">
        <v>2.1</v>
      </c>
      <c r="J17" s="1" t="s">
        <v>14</v>
      </c>
    </row>
    <row r="18" spans="1:10" x14ac:dyDescent="0.3">
      <c r="A18" s="1" t="s">
        <v>33</v>
      </c>
      <c r="B18" s="1">
        <v>38</v>
      </c>
      <c r="C18" s="1" t="s">
        <v>11</v>
      </c>
      <c r="D18" s="1">
        <v>98.91</v>
      </c>
      <c r="E18" s="1">
        <v>19.489999999999998</v>
      </c>
      <c r="F18" s="1">
        <v>0</v>
      </c>
      <c r="G18" s="1">
        <v>0</v>
      </c>
      <c r="H18" s="1">
        <v>3</v>
      </c>
      <c r="I18" s="1">
        <v>3.1</v>
      </c>
      <c r="J18" s="1" t="s">
        <v>14</v>
      </c>
    </row>
    <row r="19" spans="1:10" x14ac:dyDescent="0.3">
      <c r="A19" s="1" t="s">
        <v>34</v>
      </c>
      <c r="B19" s="1">
        <v>25</v>
      </c>
      <c r="C19" s="1" t="s">
        <v>11</v>
      </c>
      <c r="D19" s="1">
        <v>96.42</v>
      </c>
      <c r="E19" s="1">
        <v>14.69</v>
      </c>
      <c r="F19" s="1">
        <v>1</v>
      </c>
      <c r="G19" s="1">
        <v>3</v>
      </c>
      <c r="H19" s="1">
        <v>2</v>
      </c>
      <c r="I19" s="1">
        <v>1.2</v>
      </c>
      <c r="J19" s="1" t="s">
        <v>24</v>
      </c>
    </row>
    <row r="20" spans="1:10" x14ac:dyDescent="0.3">
      <c r="A20" s="1" t="s">
        <v>35</v>
      </c>
      <c r="B20" s="1">
        <v>57</v>
      </c>
      <c r="C20" s="1" t="s">
        <v>11</v>
      </c>
      <c r="D20" s="1">
        <v>109.26</v>
      </c>
      <c r="E20" s="1">
        <v>20.61</v>
      </c>
      <c r="F20" s="1">
        <v>3</v>
      </c>
      <c r="G20" s="1">
        <v>2</v>
      </c>
      <c r="H20" s="1">
        <v>1</v>
      </c>
      <c r="I20" s="1">
        <v>2</v>
      </c>
      <c r="J20" s="1" t="s">
        <v>20</v>
      </c>
    </row>
    <row r="21" spans="1:10" x14ac:dyDescent="0.3">
      <c r="A21" s="1" t="s">
        <v>36</v>
      </c>
      <c r="B21" s="1">
        <v>34</v>
      </c>
      <c r="C21" s="1" t="s">
        <v>19</v>
      </c>
      <c r="D21" s="1">
        <v>98.22</v>
      </c>
      <c r="E21" s="1">
        <v>15.49</v>
      </c>
      <c r="F21" s="1">
        <v>1</v>
      </c>
      <c r="G21" s="1">
        <v>2</v>
      </c>
      <c r="H21" s="1">
        <v>0</v>
      </c>
      <c r="I21" s="1">
        <v>0.8</v>
      </c>
      <c r="J21" s="1" t="s">
        <v>14</v>
      </c>
    </row>
    <row r="22" spans="1:10" x14ac:dyDescent="0.3">
      <c r="A22" s="1" t="s">
        <v>37</v>
      </c>
      <c r="B22" s="1">
        <v>35</v>
      </c>
      <c r="C22" s="1" t="s">
        <v>11</v>
      </c>
      <c r="D22" s="1">
        <v>101.02</v>
      </c>
      <c r="E22" s="1">
        <v>16.760000000000002</v>
      </c>
      <c r="F22" s="1">
        <v>3</v>
      </c>
      <c r="G22" s="1">
        <v>2</v>
      </c>
      <c r="H22" s="1">
        <v>2</v>
      </c>
      <c r="I22" s="1">
        <v>1.9</v>
      </c>
      <c r="J22" s="1" t="s">
        <v>12</v>
      </c>
    </row>
    <row r="23" spans="1:10" x14ac:dyDescent="0.3">
      <c r="A23" s="1" t="s">
        <v>38</v>
      </c>
      <c r="B23" s="1">
        <v>56</v>
      </c>
      <c r="C23" s="1" t="s">
        <v>19</v>
      </c>
      <c r="D23" s="1">
        <v>111.44</v>
      </c>
      <c r="E23" s="1">
        <v>21.87</v>
      </c>
      <c r="F23" s="1">
        <v>4</v>
      </c>
      <c r="G23" s="1">
        <v>1</v>
      </c>
      <c r="H23" s="1">
        <v>2</v>
      </c>
      <c r="I23" s="1">
        <v>1.9</v>
      </c>
      <c r="J23" s="1" t="s">
        <v>20</v>
      </c>
    </row>
    <row r="24" spans="1:10" x14ac:dyDescent="0.3">
      <c r="A24" s="1" t="s">
        <v>39</v>
      </c>
      <c r="B24" s="1">
        <v>46</v>
      </c>
      <c r="C24" s="1" t="s">
        <v>19</v>
      </c>
      <c r="D24" s="1">
        <v>103.85</v>
      </c>
      <c r="E24" s="1">
        <v>19.47</v>
      </c>
      <c r="F24" s="1">
        <v>2</v>
      </c>
      <c r="G24" s="1">
        <v>4</v>
      </c>
      <c r="H24" s="1">
        <v>3</v>
      </c>
      <c r="I24" s="1">
        <v>2.9</v>
      </c>
      <c r="J24" s="1" t="s">
        <v>20</v>
      </c>
    </row>
    <row r="25" spans="1:10" x14ac:dyDescent="0.3">
      <c r="A25" s="1" t="s">
        <v>40</v>
      </c>
      <c r="B25" s="1">
        <v>35</v>
      </c>
      <c r="C25" s="1" t="s">
        <v>11</v>
      </c>
      <c r="D25" s="1">
        <v>102.67</v>
      </c>
      <c r="E25" s="1">
        <v>13.79</v>
      </c>
      <c r="F25" s="1">
        <v>4</v>
      </c>
      <c r="G25" s="1">
        <v>1</v>
      </c>
      <c r="H25" s="1">
        <v>1</v>
      </c>
      <c r="I25" s="1">
        <v>2</v>
      </c>
      <c r="J25" s="1" t="s">
        <v>14</v>
      </c>
    </row>
    <row r="26" spans="1:10" x14ac:dyDescent="0.3">
      <c r="A26" s="1" t="s">
        <v>41</v>
      </c>
      <c r="B26" s="1">
        <v>52</v>
      </c>
      <c r="C26" s="1" t="s">
        <v>19</v>
      </c>
      <c r="D26" s="1">
        <v>107.91</v>
      </c>
      <c r="E26" s="1">
        <v>19.27</v>
      </c>
      <c r="F26" s="1">
        <v>4</v>
      </c>
      <c r="G26" s="1">
        <v>0</v>
      </c>
      <c r="H26" s="1">
        <v>0</v>
      </c>
      <c r="I26" s="1">
        <v>0.8</v>
      </c>
      <c r="J26" s="1" t="s">
        <v>20</v>
      </c>
    </row>
    <row r="27" spans="1:10" x14ac:dyDescent="0.3">
      <c r="A27" s="1" t="s">
        <v>42</v>
      </c>
      <c r="B27" s="1">
        <v>30</v>
      </c>
      <c r="C27" s="1" t="s">
        <v>11</v>
      </c>
      <c r="D27" s="1">
        <v>96.67</v>
      </c>
      <c r="E27" s="1">
        <v>15.72</v>
      </c>
      <c r="F27" s="1">
        <v>3</v>
      </c>
      <c r="G27" s="1">
        <v>1</v>
      </c>
      <c r="H27" s="1">
        <v>2</v>
      </c>
      <c r="I27" s="1">
        <v>1.2</v>
      </c>
      <c r="J27" s="1" t="s">
        <v>24</v>
      </c>
    </row>
    <row r="28" spans="1:10" x14ac:dyDescent="0.3">
      <c r="A28" s="1" t="s">
        <v>43</v>
      </c>
      <c r="B28" s="1">
        <v>35</v>
      </c>
      <c r="C28" s="1" t="s">
        <v>19</v>
      </c>
      <c r="D28" s="1">
        <v>101.41</v>
      </c>
      <c r="E28" s="1">
        <v>19.45</v>
      </c>
      <c r="F28" s="1">
        <v>0</v>
      </c>
      <c r="G28" s="1">
        <v>4</v>
      </c>
      <c r="H28" s="1">
        <v>2</v>
      </c>
      <c r="I28" s="1">
        <v>1.9</v>
      </c>
      <c r="J28" s="1" t="s">
        <v>12</v>
      </c>
    </row>
    <row r="29" spans="1:10" x14ac:dyDescent="0.3">
      <c r="A29" s="1" t="s">
        <v>44</v>
      </c>
      <c r="B29" s="1">
        <v>32</v>
      </c>
      <c r="C29" s="1" t="s">
        <v>11</v>
      </c>
      <c r="D29" s="1">
        <v>102.28</v>
      </c>
      <c r="E29" s="1">
        <v>11.75</v>
      </c>
      <c r="F29" s="1">
        <v>2</v>
      </c>
      <c r="G29" s="1">
        <v>1</v>
      </c>
      <c r="H29" s="1">
        <v>1</v>
      </c>
      <c r="I29" s="1">
        <v>1.3</v>
      </c>
      <c r="J29" s="1" t="s">
        <v>20</v>
      </c>
    </row>
    <row r="30" spans="1:10" x14ac:dyDescent="0.3">
      <c r="A30" s="1" t="s">
        <v>45</v>
      </c>
      <c r="B30" s="1">
        <v>46</v>
      </c>
      <c r="C30" s="1" t="s">
        <v>19</v>
      </c>
      <c r="D30" s="1">
        <v>105.06</v>
      </c>
      <c r="E30" s="1">
        <v>17.260000000000002</v>
      </c>
      <c r="F30" s="1">
        <v>4</v>
      </c>
      <c r="G30" s="1">
        <v>1</v>
      </c>
      <c r="H30" s="1">
        <v>2</v>
      </c>
      <c r="I30" s="1">
        <v>0.8</v>
      </c>
      <c r="J30" s="1" t="s">
        <v>14</v>
      </c>
    </row>
    <row r="31" spans="1:10" x14ac:dyDescent="0.3">
      <c r="A31" s="1" t="s">
        <v>46</v>
      </c>
      <c r="B31" s="1">
        <v>43</v>
      </c>
      <c r="C31" s="1" t="s">
        <v>19</v>
      </c>
      <c r="D31" s="1">
        <v>103.22</v>
      </c>
      <c r="E31" s="1">
        <v>20.74</v>
      </c>
      <c r="F31" s="1">
        <v>2</v>
      </c>
      <c r="G31" s="1">
        <v>2</v>
      </c>
      <c r="H31" s="1">
        <v>3</v>
      </c>
      <c r="I31" s="1">
        <v>2.1</v>
      </c>
      <c r="J31" s="1" t="s">
        <v>12</v>
      </c>
    </row>
    <row r="32" spans="1:10" x14ac:dyDescent="0.3">
      <c r="A32" s="1" t="s">
        <v>47</v>
      </c>
      <c r="B32" s="1">
        <v>46</v>
      </c>
      <c r="C32" s="1" t="s">
        <v>11</v>
      </c>
      <c r="D32" s="1">
        <v>105.42</v>
      </c>
      <c r="E32" s="1">
        <v>20.23</v>
      </c>
      <c r="F32" s="1">
        <v>4</v>
      </c>
      <c r="G32" s="1">
        <v>0</v>
      </c>
      <c r="H32" s="1">
        <v>2</v>
      </c>
      <c r="I32" s="1">
        <v>2.2999999999999998</v>
      </c>
      <c r="J32" s="1" t="s">
        <v>27</v>
      </c>
    </row>
    <row r="33" spans="1:10" x14ac:dyDescent="0.3">
      <c r="A33" s="1" t="s">
        <v>48</v>
      </c>
      <c r="B33" s="1">
        <v>32</v>
      </c>
      <c r="C33" s="1" t="s">
        <v>19</v>
      </c>
      <c r="D33" s="1">
        <v>97.29</v>
      </c>
      <c r="E33" s="1">
        <v>12.89</v>
      </c>
      <c r="F33" s="1">
        <v>4</v>
      </c>
      <c r="G33" s="1">
        <v>2</v>
      </c>
      <c r="H33" s="1">
        <v>2</v>
      </c>
      <c r="I33" s="1">
        <v>1.3</v>
      </c>
      <c r="J33" s="1" t="s">
        <v>14</v>
      </c>
    </row>
    <row r="34" spans="1:10" x14ac:dyDescent="0.3">
      <c r="A34" s="1" t="s">
        <v>49</v>
      </c>
      <c r="B34" s="1">
        <v>46</v>
      </c>
      <c r="C34" s="1" t="s">
        <v>19</v>
      </c>
      <c r="D34" s="1">
        <v>106.22</v>
      </c>
      <c r="E34" s="1">
        <v>19.48</v>
      </c>
      <c r="F34" s="1">
        <v>4</v>
      </c>
      <c r="G34" s="1">
        <v>3</v>
      </c>
      <c r="H34" s="1">
        <v>0</v>
      </c>
      <c r="I34" s="1">
        <v>0.7</v>
      </c>
      <c r="J34" s="1" t="s">
        <v>12</v>
      </c>
    </row>
    <row r="35" spans="1:10" x14ac:dyDescent="0.3">
      <c r="A35" s="1" t="s">
        <v>50</v>
      </c>
      <c r="B35" s="1">
        <v>56</v>
      </c>
      <c r="C35" s="1" t="s">
        <v>11</v>
      </c>
      <c r="D35" s="1">
        <v>114.63</v>
      </c>
      <c r="E35" s="1">
        <v>20.11</v>
      </c>
      <c r="F35" s="1">
        <v>2</v>
      </c>
      <c r="G35" s="1">
        <v>1</v>
      </c>
      <c r="H35" s="1">
        <v>0</v>
      </c>
      <c r="I35" s="1">
        <v>0.8</v>
      </c>
      <c r="J35" s="1" t="s">
        <v>27</v>
      </c>
    </row>
    <row r="36" spans="1:10" x14ac:dyDescent="0.3">
      <c r="A36" s="1" t="s">
        <v>51</v>
      </c>
      <c r="B36" s="1">
        <v>30</v>
      </c>
      <c r="C36" s="1" t="s">
        <v>11</v>
      </c>
      <c r="D36" s="1">
        <v>93.15</v>
      </c>
      <c r="E36" s="1">
        <v>14.24</v>
      </c>
      <c r="F36" s="1">
        <v>1</v>
      </c>
      <c r="G36" s="1">
        <v>1</v>
      </c>
      <c r="H36" s="1">
        <v>2</v>
      </c>
      <c r="I36" s="1">
        <v>1.3</v>
      </c>
      <c r="J36" s="1" t="s">
        <v>14</v>
      </c>
    </row>
    <row r="37" spans="1:10" x14ac:dyDescent="0.3">
      <c r="A37" s="1" t="s">
        <v>52</v>
      </c>
      <c r="B37" s="1">
        <v>44</v>
      </c>
      <c r="C37" s="1" t="s">
        <v>11</v>
      </c>
      <c r="D37" s="1">
        <v>102.36</v>
      </c>
      <c r="E37" s="1">
        <v>19.600000000000001</v>
      </c>
      <c r="F37" s="1">
        <v>1</v>
      </c>
      <c r="G37" s="1">
        <v>2</v>
      </c>
      <c r="H37" s="1">
        <v>0</v>
      </c>
      <c r="I37" s="1">
        <v>0.9</v>
      </c>
      <c r="J37" s="1" t="s">
        <v>27</v>
      </c>
    </row>
    <row r="38" spans="1:10" x14ac:dyDescent="0.3">
      <c r="A38" s="1" t="s">
        <v>53</v>
      </c>
      <c r="B38" s="1">
        <v>43</v>
      </c>
      <c r="C38" s="1" t="s">
        <v>11</v>
      </c>
      <c r="D38" s="1">
        <v>105.34</v>
      </c>
      <c r="E38" s="1">
        <v>14.14</v>
      </c>
      <c r="F38" s="1">
        <v>4</v>
      </c>
      <c r="G38" s="1">
        <v>3</v>
      </c>
      <c r="H38" s="1">
        <v>0</v>
      </c>
      <c r="I38" s="1">
        <v>0.8</v>
      </c>
      <c r="J38" s="1" t="s">
        <v>20</v>
      </c>
    </row>
    <row r="39" spans="1:10" x14ac:dyDescent="0.3">
      <c r="A39" s="1" t="s">
        <v>54</v>
      </c>
      <c r="B39" s="1">
        <v>31</v>
      </c>
      <c r="C39" s="1" t="s">
        <v>11</v>
      </c>
      <c r="D39" s="1">
        <v>96.26</v>
      </c>
      <c r="E39" s="1">
        <v>17.63</v>
      </c>
      <c r="F39" s="1">
        <v>3</v>
      </c>
      <c r="G39" s="1">
        <v>3</v>
      </c>
      <c r="H39" s="1">
        <v>2</v>
      </c>
      <c r="I39" s="1">
        <v>1.7</v>
      </c>
      <c r="J39" s="1" t="s">
        <v>20</v>
      </c>
    </row>
    <row r="40" spans="1:10" x14ac:dyDescent="0.3">
      <c r="A40" s="1" t="s">
        <v>55</v>
      </c>
      <c r="B40" s="1">
        <v>28</v>
      </c>
      <c r="C40" s="1" t="s">
        <v>19</v>
      </c>
      <c r="D40" s="1">
        <v>97.25</v>
      </c>
      <c r="E40" s="1">
        <v>14.98</v>
      </c>
      <c r="F40" s="1">
        <v>3</v>
      </c>
      <c r="G40" s="1">
        <v>4</v>
      </c>
      <c r="H40" s="1">
        <v>3</v>
      </c>
      <c r="I40" s="1">
        <v>3.2</v>
      </c>
      <c r="J40" s="1" t="s">
        <v>14</v>
      </c>
    </row>
    <row r="41" spans="1:10" x14ac:dyDescent="0.3">
      <c r="A41" s="1" t="s">
        <v>56</v>
      </c>
      <c r="B41" s="1">
        <v>48</v>
      </c>
      <c r="C41" s="1" t="s">
        <v>19</v>
      </c>
      <c r="D41" s="1">
        <v>108.23</v>
      </c>
      <c r="E41" s="1">
        <v>21</v>
      </c>
      <c r="F41" s="1">
        <v>3</v>
      </c>
      <c r="G41" s="1">
        <v>4</v>
      </c>
      <c r="H41" s="1">
        <v>0</v>
      </c>
      <c r="I41" s="1">
        <v>0.6</v>
      </c>
      <c r="J41" s="1" t="s">
        <v>14</v>
      </c>
    </row>
    <row r="42" spans="1:10" x14ac:dyDescent="0.3">
      <c r="A42" s="1" t="s">
        <v>57</v>
      </c>
      <c r="B42" s="1">
        <v>27</v>
      </c>
      <c r="C42" s="1" t="s">
        <v>19</v>
      </c>
      <c r="D42" s="1">
        <v>97</v>
      </c>
      <c r="E42" s="1">
        <v>15.12</v>
      </c>
      <c r="F42" s="1">
        <v>4</v>
      </c>
      <c r="G42" s="1">
        <v>0</v>
      </c>
      <c r="H42" s="1">
        <v>1</v>
      </c>
      <c r="I42" s="1">
        <v>1.7</v>
      </c>
      <c r="J42" s="1" t="s">
        <v>24</v>
      </c>
    </row>
    <row r="43" spans="1:10" x14ac:dyDescent="0.3">
      <c r="A43" s="1" t="s">
        <v>58</v>
      </c>
      <c r="B43" s="1">
        <v>45</v>
      </c>
      <c r="C43" s="1" t="s">
        <v>19</v>
      </c>
      <c r="D43" s="1">
        <v>107.27</v>
      </c>
      <c r="E43" s="1">
        <v>22.7</v>
      </c>
      <c r="F43" s="1">
        <v>4</v>
      </c>
      <c r="G43" s="1">
        <v>0</v>
      </c>
      <c r="H43" s="1">
        <v>0</v>
      </c>
      <c r="I43" s="1">
        <v>0.8</v>
      </c>
      <c r="J43" s="1" t="s">
        <v>12</v>
      </c>
    </row>
    <row r="44" spans="1:10" x14ac:dyDescent="0.3">
      <c r="A44" s="1" t="s">
        <v>59</v>
      </c>
      <c r="B44" s="1">
        <v>54</v>
      </c>
      <c r="C44" s="1" t="s">
        <v>19</v>
      </c>
      <c r="D44" s="1">
        <v>112.46</v>
      </c>
      <c r="E44" s="1">
        <v>21.36</v>
      </c>
      <c r="F44" s="1">
        <v>2</v>
      </c>
      <c r="G44" s="1">
        <v>0</v>
      </c>
      <c r="H44" s="1">
        <v>1</v>
      </c>
      <c r="I44" s="1">
        <v>1</v>
      </c>
      <c r="J44" s="1" t="s">
        <v>14</v>
      </c>
    </row>
    <row r="45" spans="1:10" x14ac:dyDescent="0.3">
      <c r="A45" s="1" t="s">
        <v>60</v>
      </c>
      <c r="B45" s="1">
        <v>40</v>
      </c>
      <c r="C45" s="1" t="s">
        <v>19</v>
      </c>
      <c r="D45" s="1">
        <v>103.32</v>
      </c>
      <c r="E45" s="1">
        <v>17.41</v>
      </c>
      <c r="F45" s="1">
        <v>1</v>
      </c>
      <c r="G45" s="1">
        <v>0</v>
      </c>
      <c r="H45" s="1">
        <v>2</v>
      </c>
      <c r="I45" s="1">
        <v>2</v>
      </c>
      <c r="J45" s="1" t="s">
        <v>20</v>
      </c>
    </row>
    <row r="46" spans="1:10" x14ac:dyDescent="0.3">
      <c r="A46" s="1" t="s">
        <v>61</v>
      </c>
      <c r="B46" s="1">
        <v>52</v>
      </c>
      <c r="C46" s="1" t="s">
        <v>11</v>
      </c>
      <c r="D46" s="1">
        <v>107.31</v>
      </c>
      <c r="E46" s="1">
        <v>17.34</v>
      </c>
      <c r="F46" s="1">
        <v>1</v>
      </c>
      <c r="G46" s="1">
        <v>3</v>
      </c>
      <c r="H46" s="1">
        <v>0</v>
      </c>
      <c r="I46" s="1">
        <v>0.5</v>
      </c>
      <c r="J46" s="1" t="s">
        <v>24</v>
      </c>
    </row>
    <row r="47" spans="1:10" x14ac:dyDescent="0.3">
      <c r="A47" s="1" t="s">
        <v>62</v>
      </c>
      <c r="B47" s="1">
        <v>34</v>
      </c>
      <c r="C47" s="1" t="s">
        <v>19</v>
      </c>
      <c r="D47" s="1">
        <v>99.12</v>
      </c>
      <c r="E47" s="1">
        <v>17.43</v>
      </c>
      <c r="F47" s="1">
        <v>3</v>
      </c>
      <c r="G47" s="1">
        <v>4</v>
      </c>
      <c r="H47" s="1">
        <v>3</v>
      </c>
      <c r="I47" s="1">
        <v>1.6</v>
      </c>
      <c r="J47" s="1" t="s">
        <v>12</v>
      </c>
    </row>
    <row r="48" spans="1:10" x14ac:dyDescent="0.3">
      <c r="A48" s="1" t="s">
        <v>63</v>
      </c>
      <c r="B48" s="1">
        <v>27</v>
      </c>
      <c r="C48" s="1" t="s">
        <v>19</v>
      </c>
      <c r="D48" s="1">
        <v>93.16</v>
      </c>
      <c r="E48" s="1">
        <v>15.53</v>
      </c>
      <c r="F48" s="1">
        <v>2</v>
      </c>
      <c r="G48" s="1">
        <v>2</v>
      </c>
      <c r="H48" s="1">
        <v>0</v>
      </c>
      <c r="I48" s="1">
        <v>0.8</v>
      </c>
      <c r="J48" s="1" t="s">
        <v>14</v>
      </c>
    </row>
    <row r="49" spans="1:10" x14ac:dyDescent="0.3">
      <c r="A49" s="1" t="s">
        <v>64</v>
      </c>
      <c r="B49" s="1">
        <v>55</v>
      </c>
      <c r="C49" s="1" t="s">
        <v>19</v>
      </c>
      <c r="D49" s="1">
        <v>111.49</v>
      </c>
      <c r="E49" s="1">
        <v>20.23</v>
      </c>
      <c r="F49" s="1">
        <v>1</v>
      </c>
      <c r="G49" s="1">
        <v>0</v>
      </c>
      <c r="H49" s="1">
        <v>1</v>
      </c>
      <c r="I49" s="1">
        <v>1.6</v>
      </c>
      <c r="J49" s="1" t="s">
        <v>24</v>
      </c>
    </row>
    <row r="50" spans="1:10" x14ac:dyDescent="0.3">
      <c r="A50" s="1" t="s">
        <v>65</v>
      </c>
      <c r="B50" s="1">
        <v>42</v>
      </c>
      <c r="C50" s="1" t="s">
        <v>11</v>
      </c>
      <c r="D50" s="1">
        <v>108.71</v>
      </c>
      <c r="E50" s="1">
        <v>16.2</v>
      </c>
      <c r="F50" s="1">
        <v>2</v>
      </c>
      <c r="G50" s="1">
        <v>1</v>
      </c>
      <c r="H50" s="1">
        <v>3</v>
      </c>
      <c r="I50" s="1">
        <v>1.1000000000000001</v>
      </c>
      <c r="J50" s="1" t="s">
        <v>24</v>
      </c>
    </row>
    <row r="51" spans="1:10" x14ac:dyDescent="0.3">
      <c r="A51" s="1" t="s">
        <v>66</v>
      </c>
      <c r="B51" s="1">
        <v>36</v>
      </c>
      <c r="C51" s="1" t="s">
        <v>11</v>
      </c>
      <c r="D51" s="1">
        <v>97.21</v>
      </c>
      <c r="E51" s="1">
        <v>13.41</v>
      </c>
      <c r="F51" s="1">
        <v>4</v>
      </c>
      <c r="G51" s="1">
        <v>3</v>
      </c>
      <c r="H51" s="1">
        <v>1</v>
      </c>
      <c r="I51" s="1">
        <v>0.9</v>
      </c>
      <c r="J51" s="1" t="s">
        <v>14</v>
      </c>
    </row>
    <row r="52" spans="1:10" x14ac:dyDescent="0.3">
      <c r="A52" s="1" t="s">
        <v>67</v>
      </c>
      <c r="B52" s="1">
        <v>34</v>
      </c>
      <c r="C52" s="1" t="s">
        <v>11</v>
      </c>
      <c r="D52" s="1">
        <v>98.46</v>
      </c>
      <c r="E52" s="1">
        <v>15.38</v>
      </c>
      <c r="F52" s="1">
        <v>3</v>
      </c>
      <c r="G52" s="1">
        <v>2</v>
      </c>
      <c r="H52" s="1">
        <v>2</v>
      </c>
      <c r="I52" s="1">
        <v>1.2</v>
      </c>
      <c r="J52" s="1" t="s">
        <v>12</v>
      </c>
    </row>
    <row r="53" spans="1:10" x14ac:dyDescent="0.3">
      <c r="A53" s="1" t="s">
        <v>68</v>
      </c>
      <c r="B53" s="1">
        <v>40</v>
      </c>
      <c r="C53" s="1" t="s">
        <v>11</v>
      </c>
      <c r="D53" s="1">
        <v>100.6</v>
      </c>
      <c r="E53" s="1">
        <v>17.309999999999999</v>
      </c>
      <c r="F53" s="1">
        <v>0</v>
      </c>
      <c r="G53" s="1">
        <v>3</v>
      </c>
      <c r="H53" s="1">
        <v>0</v>
      </c>
      <c r="I53" s="1">
        <v>0.6</v>
      </c>
      <c r="J53" s="1" t="s">
        <v>27</v>
      </c>
    </row>
    <row r="54" spans="1:10" x14ac:dyDescent="0.3">
      <c r="A54" s="1" t="s">
        <v>69</v>
      </c>
      <c r="B54" s="1">
        <v>39</v>
      </c>
      <c r="C54" s="1" t="s">
        <v>11</v>
      </c>
      <c r="D54" s="1">
        <v>96.54</v>
      </c>
      <c r="E54" s="1">
        <v>18.239999999999998</v>
      </c>
      <c r="F54" s="1">
        <v>4</v>
      </c>
      <c r="G54" s="1">
        <v>3</v>
      </c>
      <c r="H54" s="1">
        <v>1</v>
      </c>
      <c r="I54" s="1">
        <v>1.9</v>
      </c>
      <c r="J54" s="1" t="s">
        <v>27</v>
      </c>
    </row>
    <row r="55" spans="1:10" x14ac:dyDescent="0.3">
      <c r="A55" s="1" t="s">
        <v>70</v>
      </c>
      <c r="B55" s="1">
        <v>57</v>
      </c>
      <c r="C55" s="1" t="s">
        <v>19</v>
      </c>
      <c r="D55" s="1">
        <v>110.58</v>
      </c>
      <c r="E55" s="1">
        <v>21.99</v>
      </c>
      <c r="F55" s="1">
        <v>3</v>
      </c>
      <c r="G55" s="1">
        <v>0</v>
      </c>
      <c r="H55" s="1">
        <v>0</v>
      </c>
      <c r="I55" s="1">
        <v>0.9</v>
      </c>
      <c r="J55" s="1" t="s">
        <v>12</v>
      </c>
    </row>
    <row r="56" spans="1:10" x14ac:dyDescent="0.3">
      <c r="A56" s="1" t="s">
        <v>71</v>
      </c>
      <c r="B56" s="1">
        <v>50</v>
      </c>
      <c r="C56" s="1" t="s">
        <v>11</v>
      </c>
      <c r="D56" s="1">
        <v>114.47</v>
      </c>
      <c r="E56" s="1">
        <v>18.010000000000002</v>
      </c>
      <c r="F56" s="1">
        <v>1</v>
      </c>
      <c r="G56" s="1">
        <v>3</v>
      </c>
      <c r="H56" s="1">
        <v>0</v>
      </c>
      <c r="I56" s="1">
        <v>0.6</v>
      </c>
      <c r="J56" s="1" t="s">
        <v>24</v>
      </c>
    </row>
    <row r="57" spans="1:10" x14ac:dyDescent="0.3">
      <c r="A57" s="1" t="s">
        <v>72</v>
      </c>
      <c r="B57" s="1">
        <v>31</v>
      </c>
      <c r="C57" s="1" t="s">
        <v>11</v>
      </c>
      <c r="D57" s="1">
        <v>96.28</v>
      </c>
      <c r="E57" s="1">
        <v>16.84</v>
      </c>
      <c r="F57" s="1">
        <v>4</v>
      </c>
      <c r="G57" s="1">
        <v>2</v>
      </c>
      <c r="H57" s="1">
        <v>3</v>
      </c>
      <c r="I57" s="1">
        <v>0.5</v>
      </c>
      <c r="J57" s="1" t="s">
        <v>20</v>
      </c>
    </row>
    <row r="58" spans="1:10" x14ac:dyDescent="0.3">
      <c r="A58" s="1" t="s">
        <v>73</v>
      </c>
      <c r="B58" s="1">
        <v>44</v>
      </c>
      <c r="C58" s="1" t="s">
        <v>11</v>
      </c>
      <c r="D58" s="1">
        <v>104.76</v>
      </c>
      <c r="E58" s="1">
        <v>18.399999999999999</v>
      </c>
      <c r="F58" s="1">
        <v>4</v>
      </c>
      <c r="G58" s="1">
        <v>2</v>
      </c>
      <c r="H58" s="1">
        <v>1</v>
      </c>
      <c r="I58" s="1">
        <v>0.7</v>
      </c>
      <c r="J58" s="1" t="s">
        <v>12</v>
      </c>
    </row>
    <row r="59" spans="1:10" x14ac:dyDescent="0.3">
      <c r="A59" s="1" t="s">
        <v>74</v>
      </c>
      <c r="B59" s="1">
        <v>42</v>
      </c>
      <c r="C59" s="1" t="s">
        <v>19</v>
      </c>
      <c r="D59" s="1">
        <v>105.35</v>
      </c>
      <c r="E59" s="1">
        <v>19.88</v>
      </c>
      <c r="F59" s="1">
        <v>1</v>
      </c>
      <c r="G59" s="1">
        <v>2</v>
      </c>
      <c r="H59" s="1">
        <v>2</v>
      </c>
      <c r="I59" s="1">
        <v>2.8</v>
      </c>
      <c r="J59" s="1" t="s">
        <v>20</v>
      </c>
    </row>
    <row r="60" spans="1:10" x14ac:dyDescent="0.3">
      <c r="A60" s="1" t="s">
        <v>75</v>
      </c>
      <c r="B60" s="1">
        <v>59</v>
      </c>
      <c r="C60" s="1" t="s">
        <v>19</v>
      </c>
      <c r="D60" s="1">
        <v>110.75</v>
      </c>
      <c r="E60" s="1">
        <v>24.56</v>
      </c>
      <c r="F60" s="1">
        <v>4</v>
      </c>
      <c r="G60" s="1">
        <v>4</v>
      </c>
      <c r="H60" s="1">
        <v>1</v>
      </c>
      <c r="I60" s="1">
        <v>1.7</v>
      </c>
      <c r="J60" s="1" t="s">
        <v>12</v>
      </c>
    </row>
    <row r="61" spans="1:10" x14ac:dyDescent="0.3">
      <c r="A61" s="1" t="s">
        <v>76</v>
      </c>
      <c r="B61" s="1">
        <v>56</v>
      </c>
      <c r="C61" s="1" t="s">
        <v>19</v>
      </c>
      <c r="D61" s="1">
        <v>108</v>
      </c>
      <c r="E61" s="1">
        <v>22.24</v>
      </c>
      <c r="F61" s="1">
        <v>2</v>
      </c>
      <c r="G61" s="1">
        <v>4</v>
      </c>
      <c r="H61" s="1">
        <v>2</v>
      </c>
      <c r="I61" s="1">
        <v>1.1000000000000001</v>
      </c>
      <c r="J61" s="1" t="s">
        <v>14</v>
      </c>
    </row>
    <row r="62" spans="1:10" x14ac:dyDescent="0.3">
      <c r="A62" s="1" t="s">
        <v>77</v>
      </c>
      <c r="B62" s="1">
        <v>32</v>
      </c>
      <c r="C62" s="1" t="s">
        <v>11</v>
      </c>
      <c r="D62" s="1">
        <v>98.63</v>
      </c>
      <c r="E62" s="1">
        <v>17.96</v>
      </c>
      <c r="F62" s="1">
        <v>0</v>
      </c>
      <c r="G62" s="1">
        <v>0</v>
      </c>
      <c r="H62" s="1">
        <v>2</v>
      </c>
      <c r="I62" s="1">
        <v>2.6</v>
      </c>
      <c r="J62" s="1" t="s">
        <v>24</v>
      </c>
    </row>
    <row r="63" spans="1:10" x14ac:dyDescent="0.3">
      <c r="A63" s="1" t="s">
        <v>78</v>
      </c>
      <c r="B63" s="1">
        <v>47</v>
      </c>
      <c r="C63" s="1" t="s">
        <v>11</v>
      </c>
      <c r="D63" s="1">
        <v>103.57</v>
      </c>
      <c r="E63" s="1">
        <v>22.13</v>
      </c>
      <c r="F63" s="1">
        <v>3</v>
      </c>
      <c r="G63" s="1">
        <v>2</v>
      </c>
      <c r="H63" s="1">
        <v>0</v>
      </c>
      <c r="I63" s="1">
        <v>0.6</v>
      </c>
      <c r="J63" s="1" t="s">
        <v>12</v>
      </c>
    </row>
    <row r="64" spans="1:10" x14ac:dyDescent="0.3">
      <c r="A64" s="1" t="s">
        <v>79</v>
      </c>
      <c r="B64" s="1">
        <v>28</v>
      </c>
      <c r="C64" s="1" t="s">
        <v>19</v>
      </c>
      <c r="D64" s="1">
        <v>92.72</v>
      </c>
      <c r="E64" s="1">
        <v>15.7</v>
      </c>
      <c r="F64" s="1">
        <v>4</v>
      </c>
      <c r="G64" s="1">
        <v>0</v>
      </c>
      <c r="H64" s="1">
        <v>1</v>
      </c>
      <c r="I64" s="1">
        <v>0.5</v>
      </c>
      <c r="J64" s="1" t="s">
        <v>24</v>
      </c>
    </row>
    <row r="65" spans="1:10" x14ac:dyDescent="0.3">
      <c r="A65" s="1" t="s">
        <v>80</v>
      </c>
      <c r="B65" s="1">
        <v>56</v>
      </c>
      <c r="C65" s="1" t="s">
        <v>19</v>
      </c>
      <c r="D65" s="1">
        <v>113.3</v>
      </c>
      <c r="E65" s="1">
        <v>20.45</v>
      </c>
      <c r="F65" s="1">
        <v>2</v>
      </c>
      <c r="G65" s="1">
        <v>2</v>
      </c>
      <c r="H65" s="1">
        <v>2</v>
      </c>
      <c r="I65" s="1">
        <v>0.5</v>
      </c>
      <c r="J65" s="1" t="s">
        <v>27</v>
      </c>
    </row>
    <row r="66" spans="1:10" x14ac:dyDescent="0.3">
      <c r="A66" s="1" t="s">
        <v>81</v>
      </c>
      <c r="B66" s="1">
        <v>38</v>
      </c>
      <c r="C66" s="1" t="s">
        <v>19</v>
      </c>
      <c r="D66" s="1">
        <v>104.84</v>
      </c>
      <c r="E66" s="1">
        <v>19.829999999999998</v>
      </c>
      <c r="F66" s="1">
        <v>4</v>
      </c>
      <c r="G66" s="1">
        <v>0</v>
      </c>
      <c r="H66" s="1">
        <v>0</v>
      </c>
      <c r="I66" s="1">
        <v>0.8</v>
      </c>
      <c r="J66" s="1" t="s">
        <v>24</v>
      </c>
    </row>
    <row r="67" spans="1:10" x14ac:dyDescent="0.3">
      <c r="A67" s="1" t="s">
        <v>82</v>
      </c>
      <c r="B67" s="1">
        <v>50</v>
      </c>
      <c r="C67" s="1" t="s">
        <v>11</v>
      </c>
      <c r="D67" s="1">
        <v>104.56</v>
      </c>
      <c r="E67" s="1">
        <v>21.62</v>
      </c>
      <c r="F67" s="1">
        <v>4</v>
      </c>
      <c r="G67" s="1">
        <v>1</v>
      </c>
      <c r="H67" s="1">
        <v>1</v>
      </c>
      <c r="I67" s="1">
        <v>2</v>
      </c>
      <c r="J67" s="1" t="s">
        <v>12</v>
      </c>
    </row>
    <row r="68" spans="1:10" x14ac:dyDescent="0.3">
      <c r="A68" s="1" t="s">
        <v>83</v>
      </c>
      <c r="B68" s="1">
        <v>27</v>
      </c>
      <c r="C68" s="1" t="s">
        <v>19</v>
      </c>
      <c r="D68" s="1">
        <v>97.32</v>
      </c>
      <c r="E68" s="1">
        <v>16.28</v>
      </c>
      <c r="F68" s="1">
        <v>2</v>
      </c>
      <c r="G68" s="1">
        <v>4</v>
      </c>
      <c r="H68" s="1">
        <v>0</v>
      </c>
      <c r="I68" s="1">
        <v>0.8</v>
      </c>
      <c r="J68" s="1" t="s">
        <v>12</v>
      </c>
    </row>
    <row r="69" spans="1:10" x14ac:dyDescent="0.3">
      <c r="A69" s="1" t="s">
        <v>84</v>
      </c>
      <c r="B69" s="1">
        <v>32</v>
      </c>
      <c r="C69" s="1" t="s">
        <v>11</v>
      </c>
      <c r="D69" s="1">
        <v>103.58</v>
      </c>
      <c r="E69" s="1">
        <v>15.12</v>
      </c>
      <c r="F69" s="1">
        <v>4</v>
      </c>
      <c r="G69" s="1">
        <v>0</v>
      </c>
      <c r="H69" s="1">
        <v>2</v>
      </c>
      <c r="I69" s="1">
        <v>1.8</v>
      </c>
      <c r="J69" s="1" t="s">
        <v>20</v>
      </c>
    </row>
    <row r="70" spans="1:10" x14ac:dyDescent="0.3">
      <c r="A70" s="1" t="s">
        <v>85</v>
      </c>
      <c r="B70" s="1">
        <v>53</v>
      </c>
      <c r="C70" s="1" t="s">
        <v>19</v>
      </c>
      <c r="D70" s="1">
        <v>105.92</v>
      </c>
      <c r="E70" s="1">
        <v>22.98</v>
      </c>
      <c r="F70" s="1">
        <v>2</v>
      </c>
      <c r="G70" s="1">
        <v>0</v>
      </c>
      <c r="H70" s="1">
        <v>0</v>
      </c>
      <c r="I70" s="1">
        <v>0.8</v>
      </c>
      <c r="J70" s="1" t="s">
        <v>27</v>
      </c>
    </row>
    <row r="71" spans="1:10" x14ac:dyDescent="0.3">
      <c r="A71" s="1" t="s">
        <v>86</v>
      </c>
      <c r="B71" s="1">
        <v>33</v>
      </c>
      <c r="C71" s="1" t="s">
        <v>19</v>
      </c>
      <c r="D71" s="1">
        <v>104.76</v>
      </c>
      <c r="E71" s="1">
        <v>13.89</v>
      </c>
      <c r="F71" s="1">
        <v>3</v>
      </c>
      <c r="G71" s="1">
        <v>4</v>
      </c>
      <c r="H71" s="1">
        <v>0</v>
      </c>
      <c r="I71" s="1">
        <v>0.5</v>
      </c>
      <c r="J71" s="1" t="s">
        <v>20</v>
      </c>
    </row>
    <row r="72" spans="1:10" x14ac:dyDescent="0.3">
      <c r="A72" s="1" t="s">
        <v>87</v>
      </c>
      <c r="B72" s="1">
        <v>49</v>
      </c>
      <c r="C72" s="1" t="s">
        <v>19</v>
      </c>
      <c r="D72" s="1">
        <v>108.22</v>
      </c>
      <c r="E72" s="1">
        <v>19.55</v>
      </c>
      <c r="F72" s="1">
        <v>1</v>
      </c>
      <c r="G72" s="1">
        <v>1</v>
      </c>
      <c r="H72" s="1">
        <v>2</v>
      </c>
      <c r="I72" s="1">
        <v>1.6</v>
      </c>
      <c r="J72" s="1" t="s">
        <v>20</v>
      </c>
    </row>
    <row r="73" spans="1:10" x14ac:dyDescent="0.3">
      <c r="A73" s="1" t="s">
        <v>88</v>
      </c>
      <c r="B73" s="1">
        <v>32</v>
      </c>
      <c r="C73" s="1" t="s">
        <v>11</v>
      </c>
      <c r="D73" s="1">
        <v>97.69</v>
      </c>
      <c r="E73" s="1">
        <v>18.04</v>
      </c>
      <c r="F73" s="1">
        <v>3</v>
      </c>
      <c r="G73" s="1">
        <v>2</v>
      </c>
      <c r="H73" s="1">
        <v>2</v>
      </c>
      <c r="I73" s="1">
        <v>2.2000000000000002</v>
      </c>
      <c r="J73" s="1" t="s">
        <v>12</v>
      </c>
    </row>
    <row r="74" spans="1:10" x14ac:dyDescent="0.3">
      <c r="A74" s="1" t="s">
        <v>89</v>
      </c>
      <c r="B74" s="1">
        <v>52</v>
      </c>
      <c r="C74" s="1" t="s">
        <v>11</v>
      </c>
      <c r="D74" s="1">
        <v>104.99</v>
      </c>
      <c r="E74" s="1">
        <v>22.77</v>
      </c>
      <c r="F74" s="1">
        <v>3</v>
      </c>
      <c r="G74" s="1">
        <v>2</v>
      </c>
      <c r="H74" s="1">
        <v>1</v>
      </c>
      <c r="I74" s="1">
        <v>1.1000000000000001</v>
      </c>
      <c r="J74" s="1" t="s">
        <v>14</v>
      </c>
    </row>
    <row r="75" spans="1:10" x14ac:dyDescent="0.3">
      <c r="A75" s="1" t="s">
        <v>90</v>
      </c>
      <c r="B75" s="1">
        <v>25</v>
      </c>
      <c r="C75" s="1" t="s">
        <v>19</v>
      </c>
      <c r="D75" s="1">
        <v>88.93</v>
      </c>
      <c r="E75" s="1">
        <v>15.5</v>
      </c>
      <c r="F75" s="1">
        <v>3</v>
      </c>
      <c r="G75" s="1">
        <v>0</v>
      </c>
      <c r="H75" s="1">
        <v>3</v>
      </c>
      <c r="I75" s="1">
        <v>3.8</v>
      </c>
      <c r="J75" s="1" t="s">
        <v>14</v>
      </c>
    </row>
    <row r="76" spans="1:10" x14ac:dyDescent="0.3">
      <c r="A76" s="1" t="s">
        <v>91</v>
      </c>
      <c r="B76" s="1">
        <v>41</v>
      </c>
      <c r="C76" s="1" t="s">
        <v>11</v>
      </c>
      <c r="D76" s="1">
        <v>105.5</v>
      </c>
      <c r="E76" s="1">
        <v>20.18</v>
      </c>
      <c r="F76" s="1">
        <v>1</v>
      </c>
      <c r="G76" s="1">
        <v>4</v>
      </c>
      <c r="H76" s="1">
        <v>3</v>
      </c>
      <c r="I76" s="1">
        <v>1.9</v>
      </c>
      <c r="J76" s="1" t="s">
        <v>24</v>
      </c>
    </row>
    <row r="77" spans="1:10" x14ac:dyDescent="0.3">
      <c r="A77" s="1" t="s">
        <v>92</v>
      </c>
      <c r="B77" s="1">
        <v>38</v>
      </c>
      <c r="C77" s="1" t="s">
        <v>19</v>
      </c>
      <c r="D77" s="1">
        <v>101.47</v>
      </c>
      <c r="E77" s="1">
        <v>15.96</v>
      </c>
      <c r="F77" s="1">
        <v>1</v>
      </c>
      <c r="G77" s="1">
        <v>1</v>
      </c>
      <c r="H77" s="1">
        <v>0</v>
      </c>
      <c r="I77" s="1">
        <v>0.8</v>
      </c>
      <c r="J77" s="1" t="s">
        <v>12</v>
      </c>
    </row>
    <row r="78" spans="1:10" x14ac:dyDescent="0.3">
      <c r="A78" s="1" t="s">
        <v>93</v>
      </c>
      <c r="B78" s="1">
        <v>46</v>
      </c>
      <c r="C78" s="1" t="s">
        <v>19</v>
      </c>
      <c r="D78" s="1">
        <v>103.84</v>
      </c>
      <c r="E78" s="1">
        <v>17.13</v>
      </c>
      <c r="F78" s="1">
        <v>0</v>
      </c>
      <c r="G78" s="1">
        <v>4</v>
      </c>
      <c r="H78" s="1">
        <v>1</v>
      </c>
      <c r="I78" s="1">
        <v>0.7</v>
      </c>
      <c r="J78" s="1" t="s">
        <v>20</v>
      </c>
    </row>
    <row r="79" spans="1:10" x14ac:dyDescent="0.3">
      <c r="A79" s="1" t="s">
        <v>94</v>
      </c>
      <c r="B79" s="1">
        <v>45</v>
      </c>
      <c r="C79" s="1" t="s">
        <v>19</v>
      </c>
      <c r="D79" s="1">
        <v>103.74</v>
      </c>
      <c r="E79" s="1">
        <v>18.21</v>
      </c>
      <c r="F79" s="1">
        <v>1</v>
      </c>
      <c r="G79" s="1">
        <v>3</v>
      </c>
      <c r="H79" s="1">
        <v>0</v>
      </c>
      <c r="I79" s="1">
        <v>0.5</v>
      </c>
      <c r="J79" s="1" t="s">
        <v>20</v>
      </c>
    </row>
    <row r="80" spans="1:10" x14ac:dyDescent="0.3">
      <c r="A80" s="1" t="s">
        <v>95</v>
      </c>
      <c r="B80" s="1">
        <v>48</v>
      </c>
      <c r="C80" s="1" t="s">
        <v>19</v>
      </c>
      <c r="D80" s="1">
        <v>101.32</v>
      </c>
      <c r="E80" s="1">
        <v>21.93</v>
      </c>
      <c r="F80" s="1">
        <v>4</v>
      </c>
      <c r="G80" s="1">
        <v>2</v>
      </c>
      <c r="H80" s="1">
        <v>2</v>
      </c>
      <c r="I80" s="1">
        <v>2.8</v>
      </c>
      <c r="J80" s="1" t="s">
        <v>14</v>
      </c>
    </row>
    <row r="81" spans="1:10" x14ac:dyDescent="0.3">
      <c r="A81" s="1" t="s">
        <v>96</v>
      </c>
      <c r="B81" s="1">
        <v>54</v>
      </c>
      <c r="C81" s="1" t="s">
        <v>11</v>
      </c>
      <c r="D81" s="1">
        <v>109.83</v>
      </c>
      <c r="E81" s="1">
        <v>21.35</v>
      </c>
      <c r="F81" s="1">
        <v>3</v>
      </c>
      <c r="G81" s="1">
        <v>2</v>
      </c>
      <c r="H81" s="1">
        <v>1</v>
      </c>
      <c r="I81" s="1">
        <v>0.7</v>
      </c>
      <c r="J81" s="1" t="s">
        <v>24</v>
      </c>
    </row>
    <row r="82" spans="1:10" x14ac:dyDescent="0.3">
      <c r="A82" s="1" t="s">
        <v>97</v>
      </c>
      <c r="B82" s="1">
        <v>49</v>
      </c>
      <c r="C82" s="1" t="s">
        <v>19</v>
      </c>
      <c r="D82" s="1">
        <v>112.98</v>
      </c>
      <c r="E82" s="1">
        <v>18.22</v>
      </c>
      <c r="F82" s="1">
        <v>3</v>
      </c>
      <c r="G82" s="1">
        <v>1</v>
      </c>
      <c r="H82" s="1">
        <v>1</v>
      </c>
      <c r="I82" s="1">
        <v>1.7</v>
      </c>
      <c r="J82" s="1" t="s">
        <v>12</v>
      </c>
    </row>
    <row r="83" spans="1:10" x14ac:dyDescent="0.3">
      <c r="A83" s="1" t="s">
        <v>98</v>
      </c>
      <c r="B83" s="1">
        <v>45</v>
      </c>
      <c r="C83" s="1" t="s">
        <v>11</v>
      </c>
      <c r="D83" s="1">
        <v>104.87</v>
      </c>
      <c r="E83" s="1">
        <v>19.66</v>
      </c>
      <c r="F83" s="1">
        <v>1</v>
      </c>
      <c r="G83" s="1">
        <v>4</v>
      </c>
      <c r="H83" s="1">
        <v>2</v>
      </c>
      <c r="I83" s="1">
        <v>1.1000000000000001</v>
      </c>
      <c r="J83" s="1" t="s">
        <v>27</v>
      </c>
    </row>
    <row r="84" spans="1:10" x14ac:dyDescent="0.3">
      <c r="A84" s="1" t="s">
        <v>99</v>
      </c>
      <c r="B84" s="1">
        <v>30</v>
      </c>
      <c r="C84" s="1" t="s">
        <v>19</v>
      </c>
      <c r="D84" s="1">
        <v>100.81</v>
      </c>
      <c r="E84" s="1">
        <v>14.39</v>
      </c>
      <c r="F84" s="1">
        <v>2</v>
      </c>
      <c r="G84" s="1">
        <v>4</v>
      </c>
      <c r="H84" s="1">
        <v>2</v>
      </c>
      <c r="I84" s="1">
        <v>2.6</v>
      </c>
      <c r="J84" s="1" t="s">
        <v>12</v>
      </c>
    </row>
    <row r="85" spans="1:10" x14ac:dyDescent="0.3">
      <c r="A85" s="1" t="s">
        <v>100</v>
      </c>
      <c r="B85" s="1">
        <v>29</v>
      </c>
      <c r="C85" s="1" t="s">
        <v>11</v>
      </c>
      <c r="D85" s="1">
        <v>101.16</v>
      </c>
      <c r="E85" s="1">
        <v>14.14</v>
      </c>
      <c r="F85" s="1">
        <v>2</v>
      </c>
      <c r="G85" s="1">
        <v>2</v>
      </c>
      <c r="H85" s="1">
        <v>3</v>
      </c>
      <c r="I85" s="1">
        <v>1.3</v>
      </c>
      <c r="J85" s="1" t="s">
        <v>12</v>
      </c>
    </row>
    <row r="86" spans="1:10" x14ac:dyDescent="0.3">
      <c r="A86" s="1" t="s">
        <v>101</v>
      </c>
      <c r="B86" s="1">
        <v>57</v>
      </c>
      <c r="C86" s="1" t="s">
        <v>11</v>
      </c>
      <c r="D86" s="1">
        <v>115.19</v>
      </c>
      <c r="E86" s="1">
        <v>20.76</v>
      </c>
      <c r="F86" s="1">
        <v>1</v>
      </c>
      <c r="G86" s="1">
        <v>4</v>
      </c>
      <c r="H86" s="1">
        <v>0</v>
      </c>
      <c r="I86" s="1">
        <v>1</v>
      </c>
      <c r="J86" s="1" t="s">
        <v>12</v>
      </c>
    </row>
    <row r="87" spans="1:10" x14ac:dyDescent="0.3">
      <c r="A87" s="1" t="s">
        <v>102</v>
      </c>
      <c r="B87" s="1">
        <v>56</v>
      </c>
      <c r="C87" s="1" t="s">
        <v>19</v>
      </c>
      <c r="D87" s="1">
        <v>110.72</v>
      </c>
      <c r="E87" s="1">
        <v>20.149999999999999</v>
      </c>
      <c r="F87" s="1">
        <v>0</v>
      </c>
      <c r="G87" s="1">
        <v>1</v>
      </c>
      <c r="H87" s="1">
        <v>1</v>
      </c>
      <c r="I87" s="1">
        <v>2</v>
      </c>
      <c r="J87" s="1" t="s">
        <v>27</v>
      </c>
    </row>
    <row r="88" spans="1:10" x14ac:dyDescent="0.3">
      <c r="A88" s="1" t="s">
        <v>103</v>
      </c>
      <c r="B88" s="1">
        <v>56</v>
      </c>
      <c r="C88" s="1" t="s">
        <v>11</v>
      </c>
      <c r="D88" s="1">
        <v>106.73</v>
      </c>
      <c r="E88" s="1">
        <v>24.09</v>
      </c>
      <c r="F88" s="1">
        <v>0</v>
      </c>
      <c r="G88" s="1">
        <v>1</v>
      </c>
      <c r="H88" s="1">
        <v>3</v>
      </c>
      <c r="I88" s="1">
        <v>1.7</v>
      </c>
      <c r="J88" s="1" t="s">
        <v>27</v>
      </c>
    </row>
    <row r="89" spans="1:10" x14ac:dyDescent="0.3">
      <c r="A89" s="1" t="s">
        <v>104</v>
      </c>
      <c r="B89" s="1">
        <v>25</v>
      </c>
      <c r="C89" s="1" t="s">
        <v>11</v>
      </c>
      <c r="D89" s="1">
        <v>99.72</v>
      </c>
      <c r="E89" s="1">
        <v>14.9</v>
      </c>
      <c r="F89" s="1">
        <v>4</v>
      </c>
      <c r="G89" s="1">
        <v>2</v>
      </c>
      <c r="H89" s="1">
        <v>3</v>
      </c>
      <c r="I89" s="1">
        <v>2.2000000000000002</v>
      </c>
      <c r="J89" s="1" t="s">
        <v>14</v>
      </c>
    </row>
    <row r="90" spans="1:10" x14ac:dyDescent="0.3">
      <c r="A90" s="1" t="s">
        <v>105</v>
      </c>
      <c r="B90" s="1">
        <v>30</v>
      </c>
      <c r="C90" s="1" t="s">
        <v>11</v>
      </c>
      <c r="D90" s="1">
        <v>96.45</v>
      </c>
      <c r="E90" s="1">
        <v>14.77</v>
      </c>
      <c r="F90" s="1">
        <v>4</v>
      </c>
      <c r="G90" s="1">
        <v>2</v>
      </c>
      <c r="H90" s="1">
        <v>0</v>
      </c>
      <c r="I90" s="1">
        <v>0.6</v>
      </c>
      <c r="J90" s="1" t="s">
        <v>24</v>
      </c>
    </row>
    <row r="91" spans="1:10" x14ac:dyDescent="0.3">
      <c r="A91" s="1" t="s">
        <v>106</v>
      </c>
      <c r="B91" s="1">
        <v>53</v>
      </c>
      <c r="C91" s="1" t="s">
        <v>19</v>
      </c>
      <c r="D91" s="1">
        <v>106.44</v>
      </c>
      <c r="E91" s="1">
        <v>20.73</v>
      </c>
      <c r="F91" s="1">
        <v>4</v>
      </c>
      <c r="G91" s="1">
        <v>3</v>
      </c>
      <c r="H91" s="1">
        <v>2</v>
      </c>
      <c r="I91" s="1">
        <v>2</v>
      </c>
      <c r="J91" s="1" t="s">
        <v>12</v>
      </c>
    </row>
    <row r="92" spans="1:10" x14ac:dyDescent="0.3">
      <c r="A92" s="1" t="s">
        <v>107</v>
      </c>
      <c r="B92" s="1">
        <v>29</v>
      </c>
      <c r="C92" s="1" t="s">
        <v>11</v>
      </c>
      <c r="D92" s="1">
        <v>97.77</v>
      </c>
      <c r="E92" s="1">
        <v>15.72</v>
      </c>
      <c r="F92" s="1">
        <v>2</v>
      </c>
      <c r="G92" s="1">
        <v>0</v>
      </c>
      <c r="H92" s="1">
        <v>0</v>
      </c>
      <c r="I92" s="1">
        <v>0.9</v>
      </c>
      <c r="J92" s="1" t="s">
        <v>12</v>
      </c>
    </row>
    <row r="93" spans="1:10" x14ac:dyDescent="0.3">
      <c r="A93" s="1" t="s">
        <v>108</v>
      </c>
      <c r="B93" s="1">
        <v>58</v>
      </c>
      <c r="C93" s="1" t="s">
        <v>19</v>
      </c>
      <c r="D93" s="1">
        <v>113.49</v>
      </c>
      <c r="E93" s="1">
        <v>25.26</v>
      </c>
      <c r="F93" s="1">
        <v>0</v>
      </c>
      <c r="G93" s="1">
        <v>4</v>
      </c>
      <c r="H93" s="1">
        <v>3</v>
      </c>
      <c r="I93" s="1">
        <v>3</v>
      </c>
      <c r="J93" s="1" t="s">
        <v>27</v>
      </c>
    </row>
    <row r="94" spans="1:10" x14ac:dyDescent="0.3">
      <c r="A94" s="1" t="s">
        <v>109</v>
      </c>
      <c r="B94" s="1">
        <v>26</v>
      </c>
      <c r="C94" s="1" t="s">
        <v>19</v>
      </c>
      <c r="D94" s="1">
        <v>92.08</v>
      </c>
      <c r="E94" s="1">
        <v>15.29</v>
      </c>
      <c r="F94" s="1">
        <v>4</v>
      </c>
      <c r="G94" s="1">
        <v>1</v>
      </c>
      <c r="H94" s="1">
        <v>2</v>
      </c>
      <c r="I94" s="1">
        <v>2.6</v>
      </c>
      <c r="J94" s="1" t="s">
        <v>20</v>
      </c>
    </row>
    <row r="95" spans="1:10" x14ac:dyDescent="0.3">
      <c r="A95" s="1" t="s">
        <v>110</v>
      </c>
      <c r="B95" s="1">
        <v>25</v>
      </c>
      <c r="C95" s="1" t="s">
        <v>11</v>
      </c>
      <c r="D95" s="1">
        <v>96.42</v>
      </c>
      <c r="E95" s="1">
        <v>15.34</v>
      </c>
      <c r="F95" s="1">
        <v>4</v>
      </c>
      <c r="G95" s="1">
        <v>3</v>
      </c>
      <c r="H95" s="1">
        <v>2</v>
      </c>
      <c r="I95" s="1">
        <v>0.9</v>
      </c>
      <c r="J95" s="1" t="s">
        <v>20</v>
      </c>
    </row>
    <row r="96" spans="1:10" x14ac:dyDescent="0.3">
      <c r="A96" s="1" t="s">
        <v>111</v>
      </c>
      <c r="B96" s="1">
        <v>59</v>
      </c>
      <c r="C96" s="1" t="s">
        <v>11</v>
      </c>
      <c r="D96" s="1">
        <v>108.1</v>
      </c>
      <c r="E96" s="1">
        <v>19.25</v>
      </c>
      <c r="F96" s="1">
        <v>1</v>
      </c>
      <c r="G96" s="1">
        <v>0</v>
      </c>
      <c r="H96" s="1">
        <v>1</v>
      </c>
      <c r="I96" s="1">
        <v>1</v>
      </c>
      <c r="J96" s="1" t="s">
        <v>12</v>
      </c>
    </row>
    <row r="97" spans="1:10" x14ac:dyDescent="0.3">
      <c r="A97" s="1" t="s">
        <v>112</v>
      </c>
      <c r="B97" s="1">
        <v>50</v>
      </c>
      <c r="C97" s="1" t="s">
        <v>11</v>
      </c>
      <c r="D97" s="1">
        <v>109.15</v>
      </c>
      <c r="E97" s="1">
        <v>22.09</v>
      </c>
      <c r="F97" s="1">
        <v>1</v>
      </c>
      <c r="G97" s="1">
        <v>4</v>
      </c>
      <c r="H97" s="1">
        <v>0</v>
      </c>
      <c r="I97" s="1">
        <v>0.6</v>
      </c>
      <c r="J97" s="1" t="s">
        <v>14</v>
      </c>
    </row>
    <row r="98" spans="1:10" x14ac:dyDescent="0.3">
      <c r="A98" s="1" t="s">
        <v>113</v>
      </c>
      <c r="B98" s="1">
        <v>48</v>
      </c>
      <c r="C98" s="1" t="s">
        <v>19</v>
      </c>
      <c r="D98" s="1">
        <v>107.71</v>
      </c>
      <c r="E98" s="1">
        <v>19.079999999999998</v>
      </c>
      <c r="F98" s="1">
        <v>0</v>
      </c>
      <c r="G98" s="1">
        <v>2</v>
      </c>
      <c r="H98" s="1">
        <v>2</v>
      </c>
      <c r="I98" s="1">
        <v>1.8</v>
      </c>
      <c r="J98" s="1" t="s">
        <v>20</v>
      </c>
    </row>
    <row r="99" spans="1:10" x14ac:dyDescent="0.3">
      <c r="A99" s="1" t="s">
        <v>114</v>
      </c>
      <c r="B99" s="1">
        <v>57</v>
      </c>
      <c r="C99" s="1" t="s">
        <v>19</v>
      </c>
      <c r="D99" s="1">
        <v>112.41</v>
      </c>
      <c r="E99" s="1">
        <v>21.55</v>
      </c>
      <c r="F99" s="1">
        <v>2</v>
      </c>
      <c r="G99" s="1">
        <v>4</v>
      </c>
      <c r="H99" s="1">
        <v>0</v>
      </c>
      <c r="I99" s="1">
        <v>0.9</v>
      </c>
      <c r="J99" s="1" t="s">
        <v>12</v>
      </c>
    </row>
    <row r="100" spans="1:10" x14ac:dyDescent="0.3">
      <c r="A100" s="1" t="s">
        <v>115</v>
      </c>
      <c r="B100" s="1">
        <v>45</v>
      </c>
      <c r="C100" s="1" t="s">
        <v>19</v>
      </c>
      <c r="D100" s="1">
        <v>110.12</v>
      </c>
      <c r="E100" s="1">
        <v>18.510000000000002</v>
      </c>
      <c r="F100" s="1">
        <v>0</v>
      </c>
      <c r="G100" s="1">
        <v>2</v>
      </c>
      <c r="H100" s="1">
        <v>0</v>
      </c>
      <c r="I100" s="1">
        <v>0.9</v>
      </c>
      <c r="J100" s="1" t="s">
        <v>24</v>
      </c>
    </row>
    <row r="101" spans="1:10" x14ac:dyDescent="0.3">
      <c r="A101" s="1" t="s">
        <v>116</v>
      </c>
      <c r="B101" s="1">
        <v>49</v>
      </c>
      <c r="C101" s="1" t="s">
        <v>19</v>
      </c>
      <c r="D101" s="1">
        <v>106.6</v>
      </c>
      <c r="E101" s="1">
        <v>21.21</v>
      </c>
      <c r="F101" s="1">
        <v>0</v>
      </c>
      <c r="G101" s="1">
        <v>0</v>
      </c>
      <c r="H101" s="1">
        <v>2</v>
      </c>
      <c r="I101" s="1">
        <v>2.5</v>
      </c>
      <c r="J101"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AC55-A1EA-457A-B37C-79A4E89982E3}">
  <dimension ref="A1:M101"/>
  <sheetViews>
    <sheetView topLeftCell="H1" workbookViewId="0">
      <selection activeCell="J1" sqref="J1:J1048576"/>
    </sheetView>
  </sheetViews>
  <sheetFormatPr defaultRowHeight="14.4" x14ac:dyDescent="0.3"/>
  <cols>
    <col min="1" max="1" width="9.21875" bestFit="1" customWidth="1"/>
    <col min="2" max="2" width="14" bestFit="1" customWidth="1"/>
    <col min="3" max="3" width="9.33203125" bestFit="1" customWidth="1"/>
    <col min="4" max="5" width="12.21875" bestFit="1" customWidth="1"/>
    <col min="6" max="6" width="20.33203125" bestFit="1" customWidth="1"/>
    <col min="7" max="7" width="22.21875" bestFit="1" customWidth="1"/>
    <col min="8" max="8" width="19.5546875" bestFit="1" customWidth="1"/>
    <col min="9" max="9" width="19" bestFit="1" customWidth="1"/>
    <col min="10" max="10" width="9" bestFit="1" customWidth="1"/>
    <col min="12" max="12" width="14.33203125" bestFit="1" customWidth="1"/>
    <col min="13" max="13" width="15.33203125" bestFit="1" customWidth="1"/>
    <col min="15" max="15" width="34.5546875" bestFit="1" customWidth="1"/>
  </cols>
  <sheetData>
    <row r="1" spans="1:13" x14ac:dyDescent="0.3">
      <c r="A1" s="2" t="s">
        <v>0</v>
      </c>
      <c r="B1" s="3" t="s">
        <v>1</v>
      </c>
      <c r="C1" s="3" t="s">
        <v>2</v>
      </c>
      <c r="D1" s="3" t="s">
        <v>3</v>
      </c>
      <c r="E1" s="3" t="s">
        <v>4</v>
      </c>
      <c r="F1" s="3" t="s">
        <v>5</v>
      </c>
      <c r="G1" s="3" t="s">
        <v>6</v>
      </c>
      <c r="H1" s="3" t="s">
        <v>7</v>
      </c>
      <c r="I1" s="3" t="s">
        <v>8</v>
      </c>
      <c r="J1" s="4" t="s">
        <v>9</v>
      </c>
      <c r="K1" s="3" t="s">
        <v>117</v>
      </c>
      <c r="L1" s="3" t="s">
        <v>121</v>
      </c>
      <c r="M1" s="3" t="s">
        <v>124</v>
      </c>
    </row>
    <row r="2" spans="1:13" x14ac:dyDescent="0.3">
      <c r="A2" s="1" t="s">
        <v>10</v>
      </c>
      <c r="B2" s="1">
        <v>47</v>
      </c>
      <c r="C2" s="1" t="s">
        <v>11</v>
      </c>
      <c r="D2" s="1">
        <v>104.41</v>
      </c>
      <c r="E2" s="1">
        <v>17.34</v>
      </c>
      <c r="F2" s="1">
        <v>1</v>
      </c>
      <c r="G2" s="1">
        <v>2</v>
      </c>
      <c r="H2" s="1">
        <v>3</v>
      </c>
      <c r="I2" s="1">
        <v>1.2</v>
      </c>
      <c r="J2" s="1" t="s">
        <v>12</v>
      </c>
      <c r="K2" s="1">
        <f>Table1[[#This Row],[Weight_kg]]/(Table1[[#This Row],[Height_cm]]/100)*2</f>
        <v>33.215209271142612</v>
      </c>
      <c r="L2" s="1" t="str" cm="1">
        <f t="array" ref="L2">_xlfn.IFS(Table1[[#This Row],[BMI]]&lt;18.5,"Under Weight",Table1[[#This Row],[BMI]]&lt;24.9,"Healthy Weight",Table1[[#This Row],[BMI]]&lt;29.9,"Overweight",Table1[[#This Row],[BMI]]&gt;=30,"Obesity")</f>
        <v>Obesity</v>
      </c>
      <c r="M2" s="1" t="str" cm="1">
        <f t="array" ref="M2">_xlfn.IFS(Table1[[#This Row],[Age_Months]]&lt;=36,"24-36 Months",Table1[[#This Row],[Age_Months]]&lt;=48,"37-48 Months",Table1[[#This Row],[Age_Months]]&gt;48,"Above 48 Months")</f>
        <v>37-48 Months</v>
      </c>
    </row>
    <row r="3" spans="1:13" x14ac:dyDescent="0.3">
      <c r="A3" s="1" t="s">
        <v>13</v>
      </c>
      <c r="B3" s="1">
        <v>34</v>
      </c>
      <c r="C3" s="1" t="s">
        <v>11</v>
      </c>
      <c r="D3" s="1">
        <v>99.08</v>
      </c>
      <c r="E3" s="1">
        <v>16.21</v>
      </c>
      <c r="F3" s="1">
        <v>0</v>
      </c>
      <c r="G3" s="1">
        <v>1</v>
      </c>
      <c r="H3" s="1">
        <v>1</v>
      </c>
      <c r="I3" s="1">
        <v>1.4</v>
      </c>
      <c r="J3" s="1" t="s">
        <v>14</v>
      </c>
      <c r="K3" s="1">
        <f>Table1[[#This Row],[Weight_kg]]/(Table1[[#This Row],[Height_cm]]/100)*2</f>
        <v>32.721033508276143</v>
      </c>
      <c r="L3" s="1" t="str" cm="1">
        <f t="array" ref="L3">_xlfn.IFS(Table1[[#This Row],[BMI]]&lt;18.5,"Under Weight",Table1[[#This Row],[BMI]]&lt;24.9,"Healthy Weight",Table1[[#This Row],[BMI]]&lt;29.9,"Overweight",Table1[[#This Row],[BMI]]&gt;=30,"Obesity")</f>
        <v>Obesity</v>
      </c>
      <c r="M3" s="1" t="str" cm="1">
        <f t="array" ref="M3">_xlfn.IFS(Table1[[#This Row],[Age_Months]]&lt;=36,"24-36 Months",Table1[[#This Row],[Age_Months]]&lt;=48,"37-48 Months",Table1[[#This Row],[Age_Months]]&gt;48,"Above 48 Months")</f>
        <v>24-36 Months</v>
      </c>
    </row>
    <row r="4" spans="1:13" x14ac:dyDescent="0.3">
      <c r="A4" s="1" t="s">
        <v>15</v>
      </c>
      <c r="B4" s="1">
        <v>35</v>
      </c>
      <c r="C4" s="1" t="s">
        <v>11</v>
      </c>
      <c r="D4" s="1">
        <v>94.96</v>
      </c>
      <c r="E4" s="1">
        <v>17.3</v>
      </c>
      <c r="F4" s="1">
        <v>3</v>
      </c>
      <c r="G4" s="1">
        <v>3</v>
      </c>
      <c r="H4" s="1">
        <v>2</v>
      </c>
      <c r="I4" s="1">
        <v>0.6</v>
      </c>
      <c r="J4" s="1" t="s">
        <v>14</v>
      </c>
      <c r="K4" s="1">
        <f>Table1[[#This Row],[Weight_kg]]/(Table1[[#This Row],[Height_cm]]/100)*2</f>
        <v>36.436394271272121</v>
      </c>
      <c r="L4" s="1" t="str" cm="1">
        <f t="array" ref="L4">_xlfn.IFS(Table1[[#This Row],[BMI]]&lt;18.5,"Under Weight",Table1[[#This Row],[BMI]]&lt;24.9,"Healthy Weight",Table1[[#This Row],[BMI]]&lt;29.9,"Overweight",Table1[[#This Row],[BMI]]&gt;=30,"Obesity")</f>
        <v>Obesity</v>
      </c>
      <c r="M4" s="1" t="str" cm="1">
        <f t="array" ref="M4">_xlfn.IFS(Table1[[#This Row],[Age_Months]]&lt;=36,"24-36 Months",Table1[[#This Row],[Age_Months]]&lt;=48,"37-48 Months",Table1[[#This Row],[Age_Months]]&gt;48,"Above 48 Months")</f>
        <v>24-36 Months</v>
      </c>
    </row>
    <row r="5" spans="1:13" x14ac:dyDescent="0.3">
      <c r="A5" s="1" t="s">
        <v>16</v>
      </c>
      <c r="B5" s="1">
        <v>39</v>
      </c>
      <c r="C5" s="1" t="s">
        <v>11</v>
      </c>
      <c r="D5" s="1">
        <v>100.65</v>
      </c>
      <c r="E5" s="1">
        <v>20.010000000000002</v>
      </c>
      <c r="F5" s="1">
        <v>2</v>
      </c>
      <c r="G5" s="1">
        <v>0</v>
      </c>
      <c r="H5" s="1">
        <v>1</v>
      </c>
      <c r="I5" s="1">
        <v>1.5</v>
      </c>
      <c r="J5" s="1" t="s">
        <v>14</v>
      </c>
      <c r="K5" s="1">
        <f>Table1[[#This Row],[Weight_kg]]/(Table1[[#This Row],[Height_cm]]/100)*2</f>
        <v>39.76154992548436</v>
      </c>
      <c r="L5" s="1" t="str" cm="1">
        <f t="array" ref="L5">_xlfn.IFS(Table1[[#This Row],[BMI]]&lt;18.5,"Under Weight",Table1[[#This Row],[BMI]]&lt;24.9,"Healthy Weight",Table1[[#This Row],[BMI]]&lt;29.9,"Overweight",Table1[[#This Row],[BMI]]&gt;=30,"Obesity")</f>
        <v>Obesity</v>
      </c>
      <c r="M5" s="1" t="str" cm="1">
        <f t="array" ref="M5">_xlfn.IFS(Table1[[#This Row],[Age_Months]]&lt;=36,"24-36 Months",Table1[[#This Row],[Age_Months]]&lt;=48,"37-48 Months",Table1[[#This Row],[Age_Months]]&gt;48,"Above 48 Months")</f>
        <v>37-48 Months</v>
      </c>
    </row>
    <row r="6" spans="1:13" x14ac:dyDescent="0.3">
      <c r="A6" s="1" t="s">
        <v>17</v>
      </c>
      <c r="B6" s="1">
        <v>26</v>
      </c>
      <c r="C6" s="1" t="s">
        <v>11</v>
      </c>
      <c r="D6" s="1">
        <v>90.06</v>
      </c>
      <c r="E6" s="1">
        <v>12.16</v>
      </c>
      <c r="F6" s="1">
        <v>0</v>
      </c>
      <c r="G6" s="1">
        <v>1</v>
      </c>
      <c r="H6" s="1">
        <v>0</v>
      </c>
      <c r="I6" s="1">
        <v>0.9</v>
      </c>
      <c r="J6" s="1" t="s">
        <v>12</v>
      </c>
      <c r="K6" s="1">
        <f>Table1[[#This Row],[Weight_kg]]/(Table1[[#This Row],[Height_cm]]/100)*2</f>
        <v>27.004219409282697</v>
      </c>
      <c r="L6" s="1" t="str" cm="1">
        <f t="array" ref="L6">_xlfn.IFS(Table1[[#This Row],[BMI]]&lt;18.5,"Under Weight",Table1[[#This Row],[BMI]]&lt;24.9,"Healthy Weight",Table1[[#This Row],[BMI]]&lt;29.9,"Overweight",Table1[[#This Row],[BMI]]&gt;=30,"Obesity")</f>
        <v>Overweight</v>
      </c>
      <c r="M6" s="1" t="str" cm="1">
        <f t="array" ref="M6">_xlfn.IFS(Table1[[#This Row],[Age_Months]]&lt;=36,"24-36 Months",Table1[[#This Row],[Age_Months]]&lt;=48,"37-48 Months",Table1[[#This Row],[Age_Months]]&gt;48,"Above 48 Months")</f>
        <v>24-36 Months</v>
      </c>
    </row>
    <row r="7" spans="1:13" x14ac:dyDescent="0.3">
      <c r="A7" s="1" t="s">
        <v>18</v>
      </c>
      <c r="B7" s="1">
        <v>51</v>
      </c>
      <c r="C7" s="1" t="s">
        <v>19</v>
      </c>
      <c r="D7" s="1">
        <v>108.82</v>
      </c>
      <c r="E7" s="1">
        <v>21.54</v>
      </c>
      <c r="F7" s="1">
        <v>0</v>
      </c>
      <c r="G7" s="1">
        <v>1</v>
      </c>
      <c r="H7" s="1">
        <v>1</v>
      </c>
      <c r="I7" s="1">
        <v>0.9</v>
      </c>
      <c r="J7" s="1" t="s">
        <v>20</v>
      </c>
      <c r="K7" s="1">
        <f>Table1[[#This Row],[Weight_kg]]/(Table1[[#This Row],[Height_cm]]/100)*2</f>
        <v>39.588310972247754</v>
      </c>
      <c r="L7" s="1" t="str" cm="1">
        <f t="array" ref="L7">_xlfn.IFS(Table1[[#This Row],[BMI]]&lt;18.5,"Under Weight",Table1[[#This Row],[BMI]]&lt;24.9,"Healthy Weight",Table1[[#This Row],[BMI]]&lt;29.9,"Overweight",Table1[[#This Row],[BMI]]&gt;=30,"Obesity")</f>
        <v>Obesity</v>
      </c>
      <c r="M7" s="1" t="str" cm="1">
        <f t="array" ref="M7">_xlfn.IFS(Table1[[#This Row],[Age_Months]]&lt;=36,"24-36 Months",Table1[[#This Row],[Age_Months]]&lt;=48,"37-48 Months",Table1[[#This Row],[Age_Months]]&gt;48,"Above 48 Months")</f>
        <v>Above 48 Months</v>
      </c>
    </row>
    <row r="8" spans="1:13" x14ac:dyDescent="0.3">
      <c r="A8" s="1" t="s">
        <v>21</v>
      </c>
      <c r="B8" s="1">
        <v>52</v>
      </c>
      <c r="C8" s="1" t="s">
        <v>19</v>
      </c>
      <c r="D8" s="1">
        <v>110.28</v>
      </c>
      <c r="E8" s="1">
        <v>21.49</v>
      </c>
      <c r="F8" s="1">
        <v>4</v>
      </c>
      <c r="G8" s="1">
        <v>0</v>
      </c>
      <c r="H8" s="1">
        <v>2</v>
      </c>
      <c r="I8" s="1">
        <v>2.8</v>
      </c>
      <c r="J8" s="1" t="s">
        <v>12</v>
      </c>
      <c r="K8" s="1">
        <f>Table1[[#This Row],[Weight_kg]]/(Table1[[#This Row],[Height_cm]]/100)*2</f>
        <v>38.973521944142178</v>
      </c>
      <c r="L8" s="1" t="str" cm="1">
        <f t="array" ref="L8">_xlfn.IFS(Table1[[#This Row],[BMI]]&lt;18.5,"Under Weight",Table1[[#This Row],[BMI]]&lt;24.9,"Healthy Weight",Table1[[#This Row],[BMI]]&lt;29.9,"Overweight",Table1[[#This Row],[BMI]]&gt;=30,"Obesity")</f>
        <v>Obesity</v>
      </c>
      <c r="M8" s="1" t="str" cm="1">
        <f t="array" ref="M8">_xlfn.IFS(Table1[[#This Row],[Age_Months]]&lt;=36,"24-36 Months",Table1[[#This Row],[Age_Months]]&lt;=48,"37-48 Months",Table1[[#This Row],[Age_Months]]&gt;48,"Above 48 Months")</f>
        <v>Above 48 Months</v>
      </c>
    </row>
    <row r="9" spans="1:13" x14ac:dyDescent="0.3">
      <c r="A9" s="1" t="s">
        <v>22</v>
      </c>
      <c r="B9" s="1">
        <v>52</v>
      </c>
      <c r="C9" s="1" t="s">
        <v>11</v>
      </c>
      <c r="D9" s="1">
        <v>102.65</v>
      </c>
      <c r="E9" s="1">
        <v>19.55</v>
      </c>
      <c r="F9" s="1">
        <v>2</v>
      </c>
      <c r="G9" s="1">
        <v>2</v>
      </c>
      <c r="H9" s="1">
        <v>1</v>
      </c>
      <c r="I9" s="1">
        <v>1.3</v>
      </c>
      <c r="J9" s="1" t="s">
        <v>14</v>
      </c>
      <c r="K9" s="1">
        <f>Table1[[#This Row],[Weight_kg]]/(Table1[[#This Row],[Height_cm]]/100)*2</f>
        <v>38.090599123234291</v>
      </c>
      <c r="L9" s="1" t="str" cm="1">
        <f t="array" ref="L9">_xlfn.IFS(Table1[[#This Row],[BMI]]&lt;18.5,"Under Weight",Table1[[#This Row],[BMI]]&lt;24.9,"Healthy Weight",Table1[[#This Row],[BMI]]&lt;29.9,"Overweight",Table1[[#This Row],[BMI]]&gt;=30,"Obesity")</f>
        <v>Obesity</v>
      </c>
      <c r="M9" s="1" t="str" cm="1">
        <f t="array" ref="M9">_xlfn.IFS(Table1[[#This Row],[Age_Months]]&lt;=36,"24-36 Months",Table1[[#This Row],[Age_Months]]&lt;=48,"37-48 Months",Table1[[#This Row],[Age_Months]]&gt;48,"Above 48 Months")</f>
        <v>Above 48 Months</v>
      </c>
    </row>
    <row r="10" spans="1:13" x14ac:dyDescent="0.3">
      <c r="A10" s="1" t="s">
        <v>23</v>
      </c>
      <c r="B10" s="1">
        <v>28</v>
      </c>
      <c r="C10" s="1" t="s">
        <v>19</v>
      </c>
      <c r="D10" s="1">
        <v>91.47</v>
      </c>
      <c r="E10" s="1">
        <v>16.39</v>
      </c>
      <c r="F10" s="1">
        <v>3</v>
      </c>
      <c r="G10" s="1">
        <v>2</v>
      </c>
      <c r="H10" s="1">
        <v>3</v>
      </c>
      <c r="I10" s="1">
        <v>0.8</v>
      </c>
      <c r="J10" s="1" t="s">
        <v>24</v>
      </c>
      <c r="K10" s="1">
        <f>Table1[[#This Row],[Weight_kg]]/(Table1[[#This Row],[Height_cm]]/100)*2</f>
        <v>35.836886410845089</v>
      </c>
      <c r="L10" s="1" t="str" cm="1">
        <f t="array" ref="L10">_xlfn.IFS(Table1[[#This Row],[BMI]]&lt;18.5,"Under Weight",Table1[[#This Row],[BMI]]&lt;24.9,"Healthy Weight",Table1[[#This Row],[BMI]]&lt;29.9,"Overweight",Table1[[#This Row],[BMI]]&gt;=30,"Obesity")</f>
        <v>Obesity</v>
      </c>
      <c r="M10" s="1" t="str" cm="1">
        <f t="array" ref="M10">_xlfn.IFS(Table1[[#This Row],[Age_Months]]&lt;=36,"24-36 Months",Table1[[#This Row],[Age_Months]]&lt;=48,"37-48 Months",Table1[[#This Row],[Age_Months]]&gt;48,"Above 48 Months")</f>
        <v>24-36 Months</v>
      </c>
    </row>
    <row r="11" spans="1:13" x14ac:dyDescent="0.3">
      <c r="A11" s="1" t="s">
        <v>25</v>
      </c>
      <c r="B11" s="1">
        <v>44</v>
      </c>
      <c r="C11" s="1" t="s">
        <v>11</v>
      </c>
      <c r="D11" s="1">
        <v>111.89</v>
      </c>
      <c r="E11" s="1">
        <v>17.95</v>
      </c>
      <c r="F11" s="1">
        <v>1</v>
      </c>
      <c r="G11" s="1">
        <v>3</v>
      </c>
      <c r="H11" s="1">
        <v>0</v>
      </c>
      <c r="I11" s="1">
        <v>0.8</v>
      </c>
      <c r="J11" s="1" t="s">
        <v>14</v>
      </c>
      <c r="K11" s="1">
        <f>Table1[[#This Row],[Weight_kg]]/(Table1[[#This Row],[Height_cm]]/100)*2</f>
        <v>32.085083564214855</v>
      </c>
      <c r="L11" s="1" t="str" cm="1">
        <f t="array" ref="L11">_xlfn.IFS(Table1[[#This Row],[BMI]]&lt;18.5,"Under Weight",Table1[[#This Row],[BMI]]&lt;24.9,"Healthy Weight",Table1[[#This Row],[BMI]]&lt;29.9,"Overweight",Table1[[#This Row],[BMI]]&gt;=30,"Obesity")</f>
        <v>Obesity</v>
      </c>
      <c r="M11" s="1" t="str" cm="1">
        <f t="array" ref="M11">_xlfn.IFS(Table1[[#This Row],[Age_Months]]&lt;=36,"24-36 Months",Table1[[#This Row],[Age_Months]]&lt;=48,"37-48 Months",Table1[[#This Row],[Age_Months]]&gt;48,"Above 48 Months")</f>
        <v>37-48 Months</v>
      </c>
    </row>
    <row r="12" spans="1:13" x14ac:dyDescent="0.3">
      <c r="A12" s="1" t="s">
        <v>26</v>
      </c>
      <c r="B12" s="1">
        <v>25</v>
      </c>
      <c r="C12" s="1" t="s">
        <v>19</v>
      </c>
      <c r="D12" s="1">
        <v>96.25</v>
      </c>
      <c r="E12" s="1">
        <v>13.5</v>
      </c>
      <c r="F12" s="1">
        <v>3</v>
      </c>
      <c r="G12" s="1">
        <v>4</v>
      </c>
      <c r="H12" s="1">
        <v>0</v>
      </c>
      <c r="I12" s="1">
        <v>0.6</v>
      </c>
      <c r="J12" s="1" t="s">
        <v>27</v>
      </c>
      <c r="K12" s="1">
        <f>Table1[[#This Row],[Weight_kg]]/(Table1[[#This Row],[Height_cm]]/100)*2</f>
        <v>28.051948051948052</v>
      </c>
      <c r="L12" s="1" t="str" cm="1">
        <f t="array" ref="L12">_xlfn.IFS(Table1[[#This Row],[BMI]]&lt;18.5,"Under Weight",Table1[[#This Row],[BMI]]&lt;24.9,"Healthy Weight",Table1[[#This Row],[BMI]]&lt;29.9,"Overweight",Table1[[#This Row],[BMI]]&gt;=30,"Obesity")</f>
        <v>Overweight</v>
      </c>
      <c r="M12" s="1" t="str" cm="1">
        <f t="array" ref="M12">_xlfn.IFS(Table1[[#This Row],[Age_Months]]&lt;=36,"24-36 Months",Table1[[#This Row],[Age_Months]]&lt;=48,"37-48 Months",Table1[[#This Row],[Age_Months]]&gt;48,"Above 48 Months")</f>
        <v>24-36 Months</v>
      </c>
    </row>
    <row r="13" spans="1:13" x14ac:dyDescent="0.3">
      <c r="A13" s="1" t="s">
        <v>28</v>
      </c>
      <c r="B13" s="1">
        <v>32</v>
      </c>
      <c r="C13" s="1" t="s">
        <v>11</v>
      </c>
      <c r="D13" s="1">
        <v>96.02</v>
      </c>
      <c r="E13" s="1">
        <v>16.55</v>
      </c>
      <c r="F13" s="1">
        <v>2</v>
      </c>
      <c r="G13" s="1">
        <v>0</v>
      </c>
      <c r="H13" s="1">
        <v>2</v>
      </c>
      <c r="I13" s="1">
        <v>1</v>
      </c>
      <c r="J13" s="1" t="s">
        <v>24</v>
      </c>
      <c r="K13" s="1">
        <f>Table1[[#This Row],[Weight_kg]]/(Table1[[#This Row],[Height_cm]]/100)*2</f>
        <v>34.471985003124352</v>
      </c>
      <c r="L13" s="1" t="str" cm="1">
        <f t="array" ref="L13">_xlfn.IFS(Table1[[#This Row],[BMI]]&lt;18.5,"Under Weight",Table1[[#This Row],[BMI]]&lt;24.9,"Healthy Weight",Table1[[#This Row],[BMI]]&lt;29.9,"Overweight",Table1[[#This Row],[BMI]]&gt;=30,"Obesity")</f>
        <v>Obesity</v>
      </c>
      <c r="M13" s="1" t="str" cm="1">
        <f t="array" ref="M13">_xlfn.IFS(Table1[[#This Row],[Age_Months]]&lt;=36,"24-36 Months",Table1[[#This Row],[Age_Months]]&lt;=48,"37-48 Months",Table1[[#This Row],[Age_Months]]&gt;48,"Above 48 Months")</f>
        <v>24-36 Months</v>
      </c>
    </row>
    <row r="14" spans="1:13" x14ac:dyDescent="0.3">
      <c r="A14" s="1" t="s">
        <v>29</v>
      </c>
      <c r="B14" s="1">
        <v>34</v>
      </c>
      <c r="C14" s="1" t="s">
        <v>19</v>
      </c>
      <c r="D14" s="1">
        <v>97.37</v>
      </c>
      <c r="E14" s="1">
        <v>15.55</v>
      </c>
      <c r="F14" s="1">
        <v>0</v>
      </c>
      <c r="G14" s="1">
        <v>1</v>
      </c>
      <c r="H14" s="1">
        <v>2</v>
      </c>
      <c r="I14" s="1">
        <v>1.3</v>
      </c>
      <c r="J14" s="1" t="s">
        <v>20</v>
      </c>
      <c r="K14" s="1">
        <f>Table1[[#This Row],[Weight_kg]]/(Table1[[#This Row],[Height_cm]]/100)*2</f>
        <v>31.940022594228203</v>
      </c>
      <c r="L14" s="1" t="str" cm="1">
        <f t="array" ref="L14">_xlfn.IFS(Table1[[#This Row],[BMI]]&lt;18.5,"Under Weight",Table1[[#This Row],[BMI]]&lt;24.9,"Healthy Weight",Table1[[#This Row],[BMI]]&lt;29.9,"Overweight",Table1[[#This Row],[BMI]]&gt;=30,"Obesity")</f>
        <v>Obesity</v>
      </c>
      <c r="M14" s="1" t="str" cm="1">
        <f t="array" ref="M14">_xlfn.IFS(Table1[[#This Row],[Age_Months]]&lt;=36,"24-36 Months",Table1[[#This Row],[Age_Months]]&lt;=48,"37-48 Months",Table1[[#This Row],[Age_Months]]&gt;48,"Above 48 Months")</f>
        <v>24-36 Months</v>
      </c>
    </row>
    <row r="15" spans="1:13" x14ac:dyDescent="0.3">
      <c r="A15" s="1" t="s">
        <v>30</v>
      </c>
      <c r="B15" s="1">
        <v>49</v>
      </c>
      <c r="C15" s="1" t="s">
        <v>19</v>
      </c>
      <c r="D15" s="1">
        <v>108.39</v>
      </c>
      <c r="E15" s="1">
        <v>20.100000000000001</v>
      </c>
      <c r="F15" s="1">
        <v>0</v>
      </c>
      <c r="G15" s="1">
        <v>2</v>
      </c>
      <c r="H15" s="1">
        <v>3</v>
      </c>
      <c r="I15" s="1">
        <v>0.6</v>
      </c>
      <c r="J15" s="1" t="s">
        <v>20</v>
      </c>
      <c r="K15" s="1">
        <f>Table1[[#This Row],[Weight_kg]]/(Table1[[#This Row],[Height_cm]]/100)*2</f>
        <v>37.088292277885415</v>
      </c>
      <c r="L15" s="1" t="str" cm="1">
        <f t="array" ref="L15">_xlfn.IFS(Table1[[#This Row],[BMI]]&lt;18.5,"Under Weight",Table1[[#This Row],[BMI]]&lt;24.9,"Healthy Weight",Table1[[#This Row],[BMI]]&lt;29.9,"Overweight",Table1[[#This Row],[BMI]]&gt;=30,"Obesity")</f>
        <v>Obesity</v>
      </c>
      <c r="M15" s="1" t="str" cm="1">
        <f t="array" ref="M15">_xlfn.IFS(Table1[[#This Row],[Age_Months]]&lt;=36,"24-36 Months",Table1[[#This Row],[Age_Months]]&lt;=48,"37-48 Months",Table1[[#This Row],[Age_Months]]&gt;48,"Above 48 Months")</f>
        <v>Above 48 Months</v>
      </c>
    </row>
    <row r="16" spans="1:13" x14ac:dyDescent="0.3">
      <c r="A16" s="1" t="s">
        <v>31</v>
      </c>
      <c r="B16" s="1">
        <v>25</v>
      </c>
      <c r="C16" s="1" t="s">
        <v>19</v>
      </c>
      <c r="D16" s="1">
        <v>92.58</v>
      </c>
      <c r="E16" s="1">
        <v>15.13</v>
      </c>
      <c r="F16" s="1">
        <v>2</v>
      </c>
      <c r="G16" s="1">
        <v>2</v>
      </c>
      <c r="H16" s="1">
        <v>2</v>
      </c>
      <c r="I16" s="1">
        <v>1.6</v>
      </c>
      <c r="J16" s="1" t="s">
        <v>14</v>
      </c>
      <c r="K16" s="1">
        <f>Table1[[#This Row],[Weight_kg]]/(Table1[[#This Row],[Height_cm]]/100)*2</f>
        <v>32.685245193346297</v>
      </c>
      <c r="L16" s="1" t="str" cm="1">
        <f t="array" ref="L16">_xlfn.IFS(Table1[[#This Row],[BMI]]&lt;18.5,"Under Weight",Table1[[#This Row],[BMI]]&lt;24.9,"Healthy Weight",Table1[[#This Row],[BMI]]&lt;29.9,"Overweight",Table1[[#This Row],[BMI]]&gt;=30,"Obesity")</f>
        <v>Obesity</v>
      </c>
      <c r="M16" s="1" t="str" cm="1">
        <f t="array" ref="M16">_xlfn.IFS(Table1[[#This Row],[Age_Months]]&lt;=36,"24-36 Months",Table1[[#This Row],[Age_Months]]&lt;=48,"37-48 Months",Table1[[#This Row],[Age_Months]]&gt;48,"Above 48 Months")</f>
        <v>24-36 Months</v>
      </c>
    </row>
    <row r="17" spans="1:13" x14ac:dyDescent="0.3">
      <c r="A17" s="1" t="s">
        <v>32</v>
      </c>
      <c r="B17" s="1">
        <v>38</v>
      </c>
      <c r="C17" s="1" t="s">
        <v>19</v>
      </c>
      <c r="D17" s="1">
        <v>99.65</v>
      </c>
      <c r="E17" s="1">
        <v>16.940000000000001</v>
      </c>
      <c r="F17" s="1">
        <v>1</v>
      </c>
      <c r="G17" s="1">
        <v>3</v>
      </c>
      <c r="H17" s="1">
        <v>3</v>
      </c>
      <c r="I17" s="1">
        <v>2.1</v>
      </c>
      <c r="J17" s="1" t="s">
        <v>14</v>
      </c>
      <c r="K17" s="1">
        <f>Table1[[#This Row],[Weight_kg]]/(Table1[[#This Row],[Height_cm]]/100)*2</f>
        <v>33.998996487706975</v>
      </c>
      <c r="L17" s="1" t="str" cm="1">
        <f t="array" ref="L17">_xlfn.IFS(Table1[[#This Row],[BMI]]&lt;18.5,"Under Weight",Table1[[#This Row],[BMI]]&lt;24.9,"Healthy Weight",Table1[[#This Row],[BMI]]&lt;29.9,"Overweight",Table1[[#This Row],[BMI]]&gt;=30,"Obesity")</f>
        <v>Obesity</v>
      </c>
      <c r="M17" s="1" t="str" cm="1">
        <f t="array" ref="M17">_xlfn.IFS(Table1[[#This Row],[Age_Months]]&lt;=36,"24-36 Months",Table1[[#This Row],[Age_Months]]&lt;=48,"37-48 Months",Table1[[#This Row],[Age_Months]]&gt;48,"Above 48 Months")</f>
        <v>37-48 Months</v>
      </c>
    </row>
    <row r="18" spans="1:13" x14ac:dyDescent="0.3">
      <c r="A18" s="1" t="s">
        <v>33</v>
      </c>
      <c r="B18" s="1">
        <v>38</v>
      </c>
      <c r="C18" s="1" t="s">
        <v>11</v>
      </c>
      <c r="D18" s="1">
        <v>98.91</v>
      </c>
      <c r="E18" s="1">
        <v>19.489999999999998</v>
      </c>
      <c r="F18" s="1">
        <v>0</v>
      </c>
      <c r="G18" s="1">
        <v>0</v>
      </c>
      <c r="H18" s="1">
        <v>3</v>
      </c>
      <c r="I18" s="1">
        <v>3.1</v>
      </c>
      <c r="J18" s="1" t="s">
        <v>14</v>
      </c>
      <c r="K18" s="1">
        <f>Table1[[#This Row],[Weight_kg]]/(Table1[[#This Row],[Height_cm]]/100)*2</f>
        <v>39.409564250328579</v>
      </c>
      <c r="L18" s="1" t="str" cm="1">
        <f t="array" ref="L18">_xlfn.IFS(Table1[[#This Row],[BMI]]&lt;18.5,"Under Weight",Table1[[#This Row],[BMI]]&lt;24.9,"Healthy Weight",Table1[[#This Row],[BMI]]&lt;29.9,"Overweight",Table1[[#This Row],[BMI]]&gt;=30,"Obesity")</f>
        <v>Obesity</v>
      </c>
      <c r="M18" s="1" t="str" cm="1">
        <f t="array" ref="M18">_xlfn.IFS(Table1[[#This Row],[Age_Months]]&lt;=36,"24-36 Months",Table1[[#This Row],[Age_Months]]&lt;=48,"37-48 Months",Table1[[#This Row],[Age_Months]]&gt;48,"Above 48 Months")</f>
        <v>37-48 Months</v>
      </c>
    </row>
    <row r="19" spans="1:13" x14ac:dyDescent="0.3">
      <c r="A19" s="1" t="s">
        <v>34</v>
      </c>
      <c r="B19" s="1">
        <v>25</v>
      </c>
      <c r="C19" s="1" t="s">
        <v>11</v>
      </c>
      <c r="D19" s="1">
        <v>96.42</v>
      </c>
      <c r="E19" s="1">
        <v>14.69</v>
      </c>
      <c r="F19" s="1">
        <v>1</v>
      </c>
      <c r="G19" s="1">
        <v>3</v>
      </c>
      <c r="H19" s="1">
        <v>2</v>
      </c>
      <c r="I19" s="1">
        <v>1.2</v>
      </c>
      <c r="J19" s="1" t="s">
        <v>24</v>
      </c>
      <c r="K19" s="1">
        <f>Table1[[#This Row],[Weight_kg]]/(Table1[[#This Row],[Height_cm]]/100)*2</f>
        <v>30.470856668740922</v>
      </c>
      <c r="L19" s="1" t="str" cm="1">
        <f t="array" ref="L19">_xlfn.IFS(Table1[[#This Row],[BMI]]&lt;18.5,"Under Weight",Table1[[#This Row],[BMI]]&lt;24.9,"Healthy Weight",Table1[[#This Row],[BMI]]&lt;29.9,"Overweight",Table1[[#This Row],[BMI]]&gt;=30,"Obesity")</f>
        <v>Obesity</v>
      </c>
      <c r="M19" s="1" t="str" cm="1">
        <f t="array" ref="M19">_xlfn.IFS(Table1[[#This Row],[Age_Months]]&lt;=36,"24-36 Months",Table1[[#This Row],[Age_Months]]&lt;=48,"37-48 Months",Table1[[#This Row],[Age_Months]]&gt;48,"Above 48 Months")</f>
        <v>24-36 Months</v>
      </c>
    </row>
    <row r="20" spans="1:13" x14ac:dyDescent="0.3">
      <c r="A20" s="1" t="s">
        <v>35</v>
      </c>
      <c r="B20" s="1">
        <v>57</v>
      </c>
      <c r="C20" s="1" t="s">
        <v>11</v>
      </c>
      <c r="D20" s="1">
        <v>109.26</v>
      </c>
      <c r="E20" s="1">
        <v>20.61</v>
      </c>
      <c r="F20" s="1">
        <v>3</v>
      </c>
      <c r="G20" s="1">
        <v>2</v>
      </c>
      <c r="H20" s="1">
        <v>1</v>
      </c>
      <c r="I20" s="1">
        <v>2</v>
      </c>
      <c r="J20" s="1" t="s">
        <v>20</v>
      </c>
      <c r="K20" s="1">
        <f>Table1[[#This Row],[Weight_kg]]/(Table1[[#This Row],[Height_cm]]/100)*2</f>
        <v>37.726523887973642</v>
      </c>
      <c r="L20" s="1" t="str" cm="1">
        <f t="array" ref="L20">_xlfn.IFS(Table1[[#This Row],[BMI]]&lt;18.5,"Under Weight",Table1[[#This Row],[BMI]]&lt;24.9,"Healthy Weight",Table1[[#This Row],[BMI]]&lt;29.9,"Overweight",Table1[[#This Row],[BMI]]&gt;=30,"Obesity")</f>
        <v>Obesity</v>
      </c>
      <c r="M20" s="1" t="str" cm="1">
        <f t="array" ref="M20">_xlfn.IFS(Table1[[#This Row],[Age_Months]]&lt;=36,"24-36 Months",Table1[[#This Row],[Age_Months]]&lt;=48,"37-48 Months",Table1[[#This Row],[Age_Months]]&gt;48,"Above 48 Months")</f>
        <v>Above 48 Months</v>
      </c>
    </row>
    <row r="21" spans="1:13" x14ac:dyDescent="0.3">
      <c r="A21" s="1" t="s">
        <v>36</v>
      </c>
      <c r="B21" s="1">
        <v>34</v>
      </c>
      <c r="C21" s="1" t="s">
        <v>19</v>
      </c>
      <c r="D21" s="1">
        <v>98.22</v>
      </c>
      <c r="E21" s="1">
        <v>15.49</v>
      </c>
      <c r="F21" s="1">
        <v>1</v>
      </c>
      <c r="G21" s="1">
        <v>2</v>
      </c>
      <c r="H21" s="1">
        <v>0</v>
      </c>
      <c r="I21" s="1">
        <v>0.8</v>
      </c>
      <c r="J21" s="1" t="s">
        <v>14</v>
      </c>
      <c r="K21" s="1">
        <f>Table1[[#This Row],[Weight_kg]]/(Table1[[#This Row],[Height_cm]]/100)*2</f>
        <v>31.541437589085728</v>
      </c>
      <c r="L21" s="1" t="str" cm="1">
        <f t="array" ref="L21">_xlfn.IFS(Table1[[#This Row],[BMI]]&lt;18.5,"Under Weight",Table1[[#This Row],[BMI]]&lt;24.9,"Healthy Weight",Table1[[#This Row],[BMI]]&lt;29.9,"Overweight",Table1[[#This Row],[BMI]]&gt;=30,"Obesity")</f>
        <v>Obesity</v>
      </c>
      <c r="M21" s="1" t="str" cm="1">
        <f t="array" ref="M21">_xlfn.IFS(Table1[[#This Row],[Age_Months]]&lt;=36,"24-36 Months",Table1[[#This Row],[Age_Months]]&lt;=48,"37-48 Months",Table1[[#This Row],[Age_Months]]&gt;48,"Above 48 Months")</f>
        <v>24-36 Months</v>
      </c>
    </row>
    <row r="22" spans="1:13" x14ac:dyDescent="0.3">
      <c r="A22" s="1" t="s">
        <v>37</v>
      </c>
      <c r="B22" s="1">
        <v>35</v>
      </c>
      <c r="C22" s="1" t="s">
        <v>11</v>
      </c>
      <c r="D22" s="1">
        <v>101.02</v>
      </c>
      <c r="E22" s="1">
        <v>16.760000000000002</v>
      </c>
      <c r="F22" s="1">
        <v>3</v>
      </c>
      <c r="G22" s="1">
        <v>2</v>
      </c>
      <c r="H22" s="1">
        <v>2</v>
      </c>
      <c r="I22" s="1">
        <v>1.9</v>
      </c>
      <c r="J22" s="1" t="s">
        <v>12</v>
      </c>
      <c r="K22" s="1">
        <f>Table1[[#This Row],[Weight_kg]]/(Table1[[#This Row],[Height_cm]]/100)*2</f>
        <v>33.181548208275593</v>
      </c>
      <c r="L22" s="1" t="str" cm="1">
        <f t="array" ref="L22">_xlfn.IFS(Table1[[#This Row],[BMI]]&lt;18.5,"Under Weight",Table1[[#This Row],[BMI]]&lt;24.9,"Healthy Weight",Table1[[#This Row],[BMI]]&lt;29.9,"Overweight",Table1[[#This Row],[BMI]]&gt;=30,"Obesity")</f>
        <v>Obesity</v>
      </c>
      <c r="M22" s="1" t="str" cm="1">
        <f t="array" ref="M22">_xlfn.IFS(Table1[[#This Row],[Age_Months]]&lt;=36,"24-36 Months",Table1[[#This Row],[Age_Months]]&lt;=48,"37-48 Months",Table1[[#This Row],[Age_Months]]&gt;48,"Above 48 Months")</f>
        <v>24-36 Months</v>
      </c>
    </row>
    <row r="23" spans="1:13" x14ac:dyDescent="0.3">
      <c r="A23" s="1" t="s">
        <v>38</v>
      </c>
      <c r="B23" s="1">
        <v>56</v>
      </c>
      <c r="C23" s="1" t="s">
        <v>19</v>
      </c>
      <c r="D23" s="1">
        <v>111.44</v>
      </c>
      <c r="E23" s="1">
        <v>21.87</v>
      </c>
      <c r="F23" s="1">
        <v>4</v>
      </c>
      <c r="G23" s="1">
        <v>1</v>
      </c>
      <c r="H23" s="1">
        <v>2</v>
      </c>
      <c r="I23" s="1">
        <v>1.9</v>
      </c>
      <c r="J23" s="1" t="s">
        <v>20</v>
      </c>
      <c r="K23" s="1">
        <f>Table1[[#This Row],[Weight_kg]]/(Table1[[#This Row],[Height_cm]]/100)*2</f>
        <v>39.249820531227563</v>
      </c>
      <c r="L23" s="1" t="str" cm="1">
        <f t="array" ref="L23">_xlfn.IFS(Table1[[#This Row],[BMI]]&lt;18.5,"Under Weight",Table1[[#This Row],[BMI]]&lt;24.9,"Healthy Weight",Table1[[#This Row],[BMI]]&lt;29.9,"Overweight",Table1[[#This Row],[BMI]]&gt;=30,"Obesity")</f>
        <v>Obesity</v>
      </c>
      <c r="M23" s="1" t="str" cm="1">
        <f t="array" ref="M23">_xlfn.IFS(Table1[[#This Row],[Age_Months]]&lt;=36,"24-36 Months",Table1[[#This Row],[Age_Months]]&lt;=48,"37-48 Months",Table1[[#This Row],[Age_Months]]&gt;48,"Above 48 Months")</f>
        <v>Above 48 Months</v>
      </c>
    </row>
    <row r="24" spans="1:13" x14ac:dyDescent="0.3">
      <c r="A24" s="1" t="s">
        <v>39</v>
      </c>
      <c r="B24" s="1">
        <v>46</v>
      </c>
      <c r="C24" s="1" t="s">
        <v>19</v>
      </c>
      <c r="D24" s="1">
        <v>103.85</v>
      </c>
      <c r="E24" s="1">
        <v>19.47</v>
      </c>
      <c r="F24" s="1">
        <v>2</v>
      </c>
      <c r="G24" s="1">
        <v>4</v>
      </c>
      <c r="H24" s="1">
        <v>3</v>
      </c>
      <c r="I24" s="1">
        <v>2.9</v>
      </c>
      <c r="J24" s="1" t="s">
        <v>20</v>
      </c>
      <c r="K24" s="1">
        <f>Table1[[#This Row],[Weight_kg]]/(Table1[[#This Row],[Height_cm]]/100)*2</f>
        <v>37.49638902262879</v>
      </c>
      <c r="L24" s="1" t="str" cm="1">
        <f t="array" ref="L24">_xlfn.IFS(Table1[[#This Row],[BMI]]&lt;18.5,"Under Weight",Table1[[#This Row],[BMI]]&lt;24.9,"Healthy Weight",Table1[[#This Row],[BMI]]&lt;29.9,"Overweight",Table1[[#This Row],[BMI]]&gt;=30,"Obesity")</f>
        <v>Obesity</v>
      </c>
      <c r="M24" s="1" t="str" cm="1">
        <f t="array" ref="M24">_xlfn.IFS(Table1[[#This Row],[Age_Months]]&lt;=36,"24-36 Months",Table1[[#This Row],[Age_Months]]&lt;=48,"37-48 Months",Table1[[#This Row],[Age_Months]]&gt;48,"Above 48 Months")</f>
        <v>37-48 Months</v>
      </c>
    </row>
    <row r="25" spans="1:13" x14ac:dyDescent="0.3">
      <c r="A25" s="1" t="s">
        <v>40</v>
      </c>
      <c r="B25" s="1">
        <v>35</v>
      </c>
      <c r="C25" s="1" t="s">
        <v>11</v>
      </c>
      <c r="D25" s="1">
        <v>102.67</v>
      </c>
      <c r="E25" s="1">
        <v>13.79</v>
      </c>
      <c r="F25" s="1">
        <v>4</v>
      </c>
      <c r="G25" s="1">
        <v>1</v>
      </c>
      <c r="H25" s="1">
        <v>1</v>
      </c>
      <c r="I25" s="1">
        <v>2</v>
      </c>
      <c r="J25" s="1" t="s">
        <v>14</v>
      </c>
      <c r="K25" s="1">
        <f>Table1[[#This Row],[Weight_kg]]/(Table1[[#This Row],[Height_cm]]/100)*2</f>
        <v>26.862764195967664</v>
      </c>
      <c r="L25" s="1" t="str" cm="1">
        <f t="array" ref="L25">_xlfn.IFS(Table1[[#This Row],[BMI]]&lt;18.5,"Under Weight",Table1[[#This Row],[BMI]]&lt;24.9,"Healthy Weight",Table1[[#This Row],[BMI]]&lt;29.9,"Overweight",Table1[[#This Row],[BMI]]&gt;=30,"Obesity")</f>
        <v>Overweight</v>
      </c>
      <c r="M25" s="1" t="str" cm="1">
        <f t="array" ref="M25">_xlfn.IFS(Table1[[#This Row],[Age_Months]]&lt;=36,"24-36 Months",Table1[[#This Row],[Age_Months]]&lt;=48,"37-48 Months",Table1[[#This Row],[Age_Months]]&gt;48,"Above 48 Months")</f>
        <v>24-36 Months</v>
      </c>
    </row>
    <row r="26" spans="1:13" x14ac:dyDescent="0.3">
      <c r="A26" s="1" t="s">
        <v>41</v>
      </c>
      <c r="B26" s="1">
        <v>52</v>
      </c>
      <c r="C26" s="1" t="s">
        <v>19</v>
      </c>
      <c r="D26" s="1">
        <v>107.91</v>
      </c>
      <c r="E26" s="1">
        <v>19.27</v>
      </c>
      <c r="F26" s="1">
        <v>4</v>
      </c>
      <c r="G26" s="1">
        <v>0</v>
      </c>
      <c r="H26" s="1">
        <v>0</v>
      </c>
      <c r="I26" s="1">
        <v>0.8</v>
      </c>
      <c r="J26" s="1" t="s">
        <v>20</v>
      </c>
      <c r="K26" s="1">
        <f>Table1[[#This Row],[Weight_kg]]/(Table1[[#This Row],[Height_cm]]/100)*2</f>
        <v>35.714947641553145</v>
      </c>
      <c r="L26" s="1" t="str" cm="1">
        <f t="array" ref="L26">_xlfn.IFS(Table1[[#This Row],[BMI]]&lt;18.5,"Under Weight",Table1[[#This Row],[BMI]]&lt;24.9,"Healthy Weight",Table1[[#This Row],[BMI]]&lt;29.9,"Overweight",Table1[[#This Row],[BMI]]&gt;=30,"Obesity")</f>
        <v>Obesity</v>
      </c>
      <c r="M26" s="1" t="str" cm="1">
        <f t="array" ref="M26">_xlfn.IFS(Table1[[#This Row],[Age_Months]]&lt;=36,"24-36 Months",Table1[[#This Row],[Age_Months]]&lt;=48,"37-48 Months",Table1[[#This Row],[Age_Months]]&gt;48,"Above 48 Months")</f>
        <v>Above 48 Months</v>
      </c>
    </row>
    <row r="27" spans="1:13" x14ac:dyDescent="0.3">
      <c r="A27" s="1" t="s">
        <v>42</v>
      </c>
      <c r="B27" s="1">
        <v>30</v>
      </c>
      <c r="C27" s="1" t="s">
        <v>11</v>
      </c>
      <c r="D27" s="1">
        <v>96.67</v>
      </c>
      <c r="E27" s="1">
        <v>15.72</v>
      </c>
      <c r="F27" s="1">
        <v>3</v>
      </c>
      <c r="G27" s="1">
        <v>1</v>
      </c>
      <c r="H27" s="1">
        <v>2</v>
      </c>
      <c r="I27" s="1">
        <v>1.2</v>
      </c>
      <c r="J27" s="1" t="s">
        <v>24</v>
      </c>
      <c r="K27" s="1">
        <f>Table1[[#This Row],[Weight_kg]]/(Table1[[#This Row],[Height_cm]]/100)*2</f>
        <v>32.523016447708699</v>
      </c>
      <c r="L27" s="1" t="str" cm="1">
        <f t="array" ref="L27">_xlfn.IFS(Table1[[#This Row],[BMI]]&lt;18.5,"Under Weight",Table1[[#This Row],[BMI]]&lt;24.9,"Healthy Weight",Table1[[#This Row],[BMI]]&lt;29.9,"Overweight",Table1[[#This Row],[BMI]]&gt;=30,"Obesity")</f>
        <v>Obesity</v>
      </c>
      <c r="M27" s="1" t="str" cm="1">
        <f t="array" ref="M27">_xlfn.IFS(Table1[[#This Row],[Age_Months]]&lt;=36,"24-36 Months",Table1[[#This Row],[Age_Months]]&lt;=48,"37-48 Months",Table1[[#This Row],[Age_Months]]&gt;48,"Above 48 Months")</f>
        <v>24-36 Months</v>
      </c>
    </row>
    <row r="28" spans="1:13" x14ac:dyDescent="0.3">
      <c r="A28" s="1" t="s">
        <v>43</v>
      </c>
      <c r="B28" s="1">
        <v>35</v>
      </c>
      <c r="C28" s="1" t="s">
        <v>19</v>
      </c>
      <c r="D28" s="1">
        <v>101.41</v>
      </c>
      <c r="E28" s="1">
        <v>19.45</v>
      </c>
      <c r="F28" s="1">
        <v>0</v>
      </c>
      <c r="G28" s="1">
        <v>4</v>
      </c>
      <c r="H28" s="1">
        <v>2</v>
      </c>
      <c r="I28" s="1">
        <v>1.9</v>
      </c>
      <c r="J28" s="1" t="s">
        <v>12</v>
      </c>
      <c r="K28" s="1">
        <f>Table1[[#This Row],[Weight_kg]]/(Table1[[#This Row],[Height_cm]]/100)*2</f>
        <v>38.359136179863917</v>
      </c>
      <c r="L28" s="1" t="str" cm="1">
        <f t="array" ref="L28">_xlfn.IFS(Table1[[#This Row],[BMI]]&lt;18.5,"Under Weight",Table1[[#This Row],[BMI]]&lt;24.9,"Healthy Weight",Table1[[#This Row],[BMI]]&lt;29.9,"Overweight",Table1[[#This Row],[BMI]]&gt;=30,"Obesity")</f>
        <v>Obesity</v>
      </c>
      <c r="M28" s="1" t="str" cm="1">
        <f t="array" ref="M28">_xlfn.IFS(Table1[[#This Row],[Age_Months]]&lt;=36,"24-36 Months",Table1[[#This Row],[Age_Months]]&lt;=48,"37-48 Months",Table1[[#This Row],[Age_Months]]&gt;48,"Above 48 Months")</f>
        <v>24-36 Months</v>
      </c>
    </row>
    <row r="29" spans="1:13" x14ac:dyDescent="0.3">
      <c r="A29" s="1" t="s">
        <v>44</v>
      </c>
      <c r="B29" s="1">
        <v>32</v>
      </c>
      <c r="C29" s="1" t="s">
        <v>11</v>
      </c>
      <c r="D29" s="1">
        <v>102.28</v>
      </c>
      <c r="E29" s="1">
        <v>11.75</v>
      </c>
      <c r="F29" s="1">
        <v>2</v>
      </c>
      <c r="G29" s="1">
        <v>1</v>
      </c>
      <c r="H29" s="1">
        <v>1</v>
      </c>
      <c r="I29" s="1">
        <v>1.3</v>
      </c>
      <c r="J29" s="1" t="s">
        <v>20</v>
      </c>
      <c r="K29" s="1">
        <f>Table1[[#This Row],[Weight_kg]]/(Table1[[#This Row],[Height_cm]]/100)*2</f>
        <v>22.976143918654675</v>
      </c>
      <c r="L29" s="1" t="str" cm="1">
        <f t="array" ref="L29">_xlfn.IFS(Table1[[#This Row],[BMI]]&lt;18.5,"Under Weight",Table1[[#This Row],[BMI]]&lt;24.9,"Healthy Weight",Table1[[#This Row],[BMI]]&lt;29.9,"Overweight",Table1[[#This Row],[BMI]]&gt;=30,"Obesity")</f>
        <v>Healthy Weight</v>
      </c>
      <c r="M29" s="1" t="str" cm="1">
        <f t="array" ref="M29">_xlfn.IFS(Table1[[#This Row],[Age_Months]]&lt;=36,"24-36 Months",Table1[[#This Row],[Age_Months]]&lt;=48,"37-48 Months",Table1[[#This Row],[Age_Months]]&gt;48,"Above 48 Months")</f>
        <v>24-36 Months</v>
      </c>
    </row>
    <row r="30" spans="1:13" x14ac:dyDescent="0.3">
      <c r="A30" s="1" t="s">
        <v>45</v>
      </c>
      <c r="B30" s="1">
        <v>46</v>
      </c>
      <c r="C30" s="1" t="s">
        <v>19</v>
      </c>
      <c r="D30" s="1">
        <v>105.06</v>
      </c>
      <c r="E30" s="1">
        <v>17.260000000000002</v>
      </c>
      <c r="F30" s="1">
        <v>4</v>
      </c>
      <c r="G30" s="1">
        <v>1</v>
      </c>
      <c r="H30" s="1">
        <v>2</v>
      </c>
      <c r="I30" s="1">
        <v>0.8</v>
      </c>
      <c r="J30" s="1" t="s">
        <v>14</v>
      </c>
      <c r="K30" s="1">
        <f>Table1[[#This Row],[Weight_kg]]/(Table1[[#This Row],[Height_cm]]/100)*2</f>
        <v>32.85741481058443</v>
      </c>
      <c r="L30" s="1" t="str" cm="1">
        <f t="array" ref="L30">_xlfn.IFS(Table1[[#This Row],[BMI]]&lt;18.5,"Under Weight",Table1[[#This Row],[BMI]]&lt;24.9,"Healthy Weight",Table1[[#This Row],[BMI]]&lt;29.9,"Overweight",Table1[[#This Row],[BMI]]&gt;=30,"Obesity")</f>
        <v>Obesity</v>
      </c>
      <c r="M30" s="1" t="str" cm="1">
        <f t="array" ref="M30">_xlfn.IFS(Table1[[#This Row],[Age_Months]]&lt;=36,"24-36 Months",Table1[[#This Row],[Age_Months]]&lt;=48,"37-48 Months",Table1[[#This Row],[Age_Months]]&gt;48,"Above 48 Months")</f>
        <v>37-48 Months</v>
      </c>
    </row>
    <row r="31" spans="1:13" x14ac:dyDescent="0.3">
      <c r="A31" s="1" t="s">
        <v>46</v>
      </c>
      <c r="B31" s="1">
        <v>43</v>
      </c>
      <c r="C31" s="1" t="s">
        <v>19</v>
      </c>
      <c r="D31" s="1">
        <v>103.22</v>
      </c>
      <c r="E31" s="1">
        <v>20.74</v>
      </c>
      <c r="F31" s="1">
        <v>2</v>
      </c>
      <c r="G31" s="1">
        <v>2</v>
      </c>
      <c r="H31" s="1">
        <v>3</v>
      </c>
      <c r="I31" s="1">
        <v>2.1</v>
      </c>
      <c r="J31" s="1" t="s">
        <v>12</v>
      </c>
      <c r="K31" s="1">
        <f>Table1[[#This Row],[Weight_kg]]/(Table1[[#This Row],[Height_cm]]/100)*2</f>
        <v>40.186010463088543</v>
      </c>
      <c r="L31" s="1" t="str" cm="1">
        <f t="array" ref="L31">_xlfn.IFS(Table1[[#This Row],[BMI]]&lt;18.5,"Under Weight",Table1[[#This Row],[BMI]]&lt;24.9,"Healthy Weight",Table1[[#This Row],[BMI]]&lt;29.9,"Overweight",Table1[[#This Row],[BMI]]&gt;=30,"Obesity")</f>
        <v>Obesity</v>
      </c>
      <c r="M31" s="1" t="str" cm="1">
        <f t="array" ref="M31">_xlfn.IFS(Table1[[#This Row],[Age_Months]]&lt;=36,"24-36 Months",Table1[[#This Row],[Age_Months]]&lt;=48,"37-48 Months",Table1[[#This Row],[Age_Months]]&gt;48,"Above 48 Months")</f>
        <v>37-48 Months</v>
      </c>
    </row>
    <row r="32" spans="1:13" x14ac:dyDescent="0.3">
      <c r="A32" s="1" t="s">
        <v>47</v>
      </c>
      <c r="B32" s="1">
        <v>46</v>
      </c>
      <c r="C32" s="1" t="s">
        <v>11</v>
      </c>
      <c r="D32" s="1">
        <v>105.42</v>
      </c>
      <c r="E32" s="1">
        <v>20.23</v>
      </c>
      <c r="F32" s="1">
        <v>4</v>
      </c>
      <c r="G32" s="1">
        <v>0</v>
      </c>
      <c r="H32" s="1">
        <v>2</v>
      </c>
      <c r="I32" s="1">
        <v>2.2999999999999998</v>
      </c>
      <c r="J32" s="1" t="s">
        <v>27</v>
      </c>
      <c r="K32" s="1">
        <f>Table1[[#This Row],[Weight_kg]]/(Table1[[#This Row],[Height_cm]]/100)*2</f>
        <v>38.37981407702523</v>
      </c>
      <c r="L32" s="1" t="str" cm="1">
        <f t="array" ref="L32">_xlfn.IFS(Table1[[#This Row],[BMI]]&lt;18.5,"Under Weight",Table1[[#This Row],[BMI]]&lt;24.9,"Healthy Weight",Table1[[#This Row],[BMI]]&lt;29.9,"Overweight",Table1[[#This Row],[BMI]]&gt;=30,"Obesity")</f>
        <v>Obesity</v>
      </c>
      <c r="M32" s="1" t="str" cm="1">
        <f t="array" ref="M32">_xlfn.IFS(Table1[[#This Row],[Age_Months]]&lt;=36,"24-36 Months",Table1[[#This Row],[Age_Months]]&lt;=48,"37-48 Months",Table1[[#This Row],[Age_Months]]&gt;48,"Above 48 Months")</f>
        <v>37-48 Months</v>
      </c>
    </row>
    <row r="33" spans="1:13" x14ac:dyDescent="0.3">
      <c r="A33" s="1" t="s">
        <v>48</v>
      </c>
      <c r="B33" s="1">
        <v>32</v>
      </c>
      <c r="C33" s="1" t="s">
        <v>19</v>
      </c>
      <c r="D33" s="1">
        <v>97.29</v>
      </c>
      <c r="E33" s="1">
        <v>12.89</v>
      </c>
      <c r="F33" s="1">
        <v>4</v>
      </c>
      <c r="G33" s="1">
        <v>2</v>
      </c>
      <c r="H33" s="1">
        <v>2</v>
      </c>
      <c r="I33" s="1">
        <v>1.3</v>
      </c>
      <c r="J33" s="1" t="s">
        <v>14</v>
      </c>
      <c r="K33" s="1">
        <f>Table1[[#This Row],[Weight_kg]]/(Table1[[#This Row],[Height_cm]]/100)*2</f>
        <v>26.498098468496245</v>
      </c>
      <c r="L33" s="1" t="str" cm="1">
        <f t="array" ref="L33">_xlfn.IFS(Table1[[#This Row],[BMI]]&lt;18.5,"Under Weight",Table1[[#This Row],[BMI]]&lt;24.9,"Healthy Weight",Table1[[#This Row],[BMI]]&lt;29.9,"Overweight",Table1[[#This Row],[BMI]]&gt;=30,"Obesity")</f>
        <v>Overweight</v>
      </c>
      <c r="M33" s="1" t="str" cm="1">
        <f t="array" ref="M33">_xlfn.IFS(Table1[[#This Row],[Age_Months]]&lt;=36,"24-36 Months",Table1[[#This Row],[Age_Months]]&lt;=48,"37-48 Months",Table1[[#This Row],[Age_Months]]&gt;48,"Above 48 Months")</f>
        <v>24-36 Months</v>
      </c>
    </row>
    <row r="34" spans="1:13" x14ac:dyDescent="0.3">
      <c r="A34" s="1" t="s">
        <v>49</v>
      </c>
      <c r="B34" s="1">
        <v>46</v>
      </c>
      <c r="C34" s="1" t="s">
        <v>19</v>
      </c>
      <c r="D34" s="1">
        <v>106.22</v>
      </c>
      <c r="E34" s="1">
        <v>19.48</v>
      </c>
      <c r="F34" s="1">
        <v>4</v>
      </c>
      <c r="G34" s="1">
        <v>3</v>
      </c>
      <c r="H34" s="1">
        <v>0</v>
      </c>
      <c r="I34" s="1">
        <v>0.7</v>
      </c>
      <c r="J34" s="1" t="s">
        <v>12</v>
      </c>
      <c r="K34" s="1">
        <f>Table1[[#This Row],[Weight_kg]]/(Table1[[#This Row],[Height_cm]]/100)*2</f>
        <v>36.678591602334777</v>
      </c>
      <c r="L34" s="1" t="str" cm="1">
        <f t="array" ref="L34">_xlfn.IFS(Table1[[#This Row],[BMI]]&lt;18.5,"Under Weight",Table1[[#This Row],[BMI]]&lt;24.9,"Healthy Weight",Table1[[#This Row],[BMI]]&lt;29.9,"Overweight",Table1[[#This Row],[BMI]]&gt;=30,"Obesity")</f>
        <v>Obesity</v>
      </c>
      <c r="M34" s="1" t="str" cm="1">
        <f t="array" ref="M34">_xlfn.IFS(Table1[[#This Row],[Age_Months]]&lt;=36,"24-36 Months",Table1[[#This Row],[Age_Months]]&lt;=48,"37-48 Months",Table1[[#This Row],[Age_Months]]&gt;48,"Above 48 Months")</f>
        <v>37-48 Months</v>
      </c>
    </row>
    <row r="35" spans="1:13" x14ac:dyDescent="0.3">
      <c r="A35" s="1" t="s">
        <v>50</v>
      </c>
      <c r="B35" s="1">
        <v>56</v>
      </c>
      <c r="C35" s="1" t="s">
        <v>11</v>
      </c>
      <c r="D35" s="1">
        <v>114.63</v>
      </c>
      <c r="E35" s="1">
        <v>20.11</v>
      </c>
      <c r="F35" s="1">
        <v>2</v>
      </c>
      <c r="G35" s="1">
        <v>1</v>
      </c>
      <c r="H35" s="1">
        <v>0</v>
      </c>
      <c r="I35" s="1">
        <v>0.8</v>
      </c>
      <c r="J35" s="1" t="s">
        <v>27</v>
      </c>
      <c r="K35" s="1">
        <f>Table1[[#This Row],[Weight_kg]]/(Table1[[#This Row],[Height_cm]]/100)*2</f>
        <v>35.086801011951501</v>
      </c>
      <c r="L35" s="1" t="str" cm="1">
        <f t="array" ref="L35">_xlfn.IFS(Table1[[#This Row],[BMI]]&lt;18.5,"Under Weight",Table1[[#This Row],[BMI]]&lt;24.9,"Healthy Weight",Table1[[#This Row],[BMI]]&lt;29.9,"Overweight",Table1[[#This Row],[BMI]]&gt;=30,"Obesity")</f>
        <v>Obesity</v>
      </c>
      <c r="M35" s="1" t="str" cm="1">
        <f t="array" ref="M35">_xlfn.IFS(Table1[[#This Row],[Age_Months]]&lt;=36,"24-36 Months",Table1[[#This Row],[Age_Months]]&lt;=48,"37-48 Months",Table1[[#This Row],[Age_Months]]&gt;48,"Above 48 Months")</f>
        <v>Above 48 Months</v>
      </c>
    </row>
    <row r="36" spans="1:13" x14ac:dyDescent="0.3">
      <c r="A36" s="1" t="s">
        <v>51</v>
      </c>
      <c r="B36" s="1">
        <v>30</v>
      </c>
      <c r="C36" s="1" t="s">
        <v>11</v>
      </c>
      <c r="D36" s="1">
        <v>93.15</v>
      </c>
      <c r="E36" s="1">
        <v>14.24</v>
      </c>
      <c r="F36" s="1">
        <v>1</v>
      </c>
      <c r="G36" s="1">
        <v>1</v>
      </c>
      <c r="H36" s="1">
        <v>2</v>
      </c>
      <c r="I36" s="1">
        <v>1.3</v>
      </c>
      <c r="J36" s="1" t="s">
        <v>14</v>
      </c>
      <c r="K36" s="1">
        <f>Table1[[#This Row],[Weight_kg]]/(Table1[[#This Row],[Height_cm]]/100)*2</f>
        <v>30.574342458400427</v>
      </c>
      <c r="L36" s="1" t="str" cm="1">
        <f t="array" ref="L36">_xlfn.IFS(Table1[[#This Row],[BMI]]&lt;18.5,"Under Weight",Table1[[#This Row],[BMI]]&lt;24.9,"Healthy Weight",Table1[[#This Row],[BMI]]&lt;29.9,"Overweight",Table1[[#This Row],[BMI]]&gt;=30,"Obesity")</f>
        <v>Obesity</v>
      </c>
      <c r="M36" s="1" t="str" cm="1">
        <f t="array" ref="M36">_xlfn.IFS(Table1[[#This Row],[Age_Months]]&lt;=36,"24-36 Months",Table1[[#This Row],[Age_Months]]&lt;=48,"37-48 Months",Table1[[#This Row],[Age_Months]]&gt;48,"Above 48 Months")</f>
        <v>24-36 Months</v>
      </c>
    </row>
    <row r="37" spans="1:13" x14ac:dyDescent="0.3">
      <c r="A37" s="1" t="s">
        <v>52</v>
      </c>
      <c r="B37" s="1">
        <v>44</v>
      </c>
      <c r="C37" s="1" t="s">
        <v>11</v>
      </c>
      <c r="D37" s="1">
        <v>102.36</v>
      </c>
      <c r="E37" s="1">
        <v>19.600000000000001</v>
      </c>
      <c r="F37" s="1">
        <v>1</v>
      </c>
      <c r="G37" s="1">
        <v>2</v>
      </c>
      <c r="H37" s="1">
        <v>0</v>
      </c>
      <c r="I37" s="1">
        <v>0.9</v>
      </c>
      <c r="J37" s="1" t="s">
        <v>27</v>
      </c>
      <c r="K37" s="1">
        <f>Table1[[#This Row],[Weight_kg]]/(Table1[[#This Row],[Height_cm]]/100)*2</f>
        <v>38.296209456819071</v>
      </c>
      <c r="L37" s="1" t="str" cm="1">
        <f t="array" ref="L37">_xlfn.IFS(Table1[[#This Row],[BMI]]&lt;18.5,"Under Weight",Table1[[#This Row],[BMI]]&lt;24.9,"Healthy Weight",Table1[[#This Row],[BMI]]&lt;29.9,"Overweight",Table1[[#This Row],[BMI]]&gt;=30,"Obesity")</f>
        <v>Obesity</v>
      </c>
      <c r="M37" s="1" t="str" cm="1">
        <f t="array" ref="M37">_xlfn.IFS(Table1[[#This Row],[Age_Months]]&lt;=36,"24-36 Months",Table1[[#This Row],[Age_Months]]&lt;=48,"37-48 Months",Table1[[#This Row],[Age_Months]]&gt;48,"Above 48 Months")</f>
        <v>37-48 Months</v>
      </c>
    </row>
    <row r="38" spans="1:13" x14ac:dyDescent="0.3">
      <c r="A38" s="1" t="s">
        <v>53</v>
      </c>
      <c r="B38" s="1">
        <v>43</v>
      </c>
      <c r="C38" s="1" t="s">
        <v>11</v>
      </c>
      <c r="D38" s="1">
        <v>105.34</v>
      </c>
      <c r="E38" s="1">
        <v>14.14</v>
      </c>
      <c r="F38" s="1">
        <v>4</v>
      </c>
      <c r="G38" s="1">
        <v>3</v>
      </c>
      <c r="H38" s="1">
        <v>0</v>
      </c>
      <c r="I38" s="1">
        <v>0.8</v>
      </c>
      <c r="J38" s="1" t="s">
        <v>20</v>
      </c>
      <c r="K38" s="1">
        <f>Table1[[#This Row],[Weight_kg]]/(Table1[[#This Row],[Height_cm]]/100)*2</f>
        <v>26.846402126447693</v>
      </c>
      <c r="L38" s="1" t="str" cm="1">
        <f t="array" ref="L38">_xlfn.IFS(Table1[[#This Row],[BMI]]&lt;18.5,"Under Weight",Table1[[#This Row],[BMI]]&lt;24.9,"Healthy Weight",Table1[[#This Row],[BMI]]&lt;29.9,"Overweight",Table1[[#This Row],[BMI]]&gt;=30,"Obesity")</f>
        <v>Overweight</v>
      </c>
      <c r="M38" s="1" t="str" cm="1">
        <f t="array" ref="M38">_xlfn.IFS(Table1[[#This Row],[Age_Months]]&lt;=36,"24-36 Months",Table1[[#This Row],[Age_Months]]&lt;=48,"37-48 Months",Table1[[#This Row],[Age_Months]]&gt;48,"Above 48 Months")</f>
        <v>37-48 Months</v>
      </c>
    </row>
    <row r="39" spans="1:13" x14ac:dyDescent="0.3">
      <c r="A39" s="1" t="s">
        <v>54</v>
      </c>
      <c r="B39" s="1">
        <v>31</v>
      </c>
      <c r="C39" s="1" t="s">
        <v>11</v>
      </c>
      <c r="D39" s="1">
        <v>96.26</v>
      </c>
      <c r="E39" s="1">
        <v>17.63</v>
      </c>
      <c r="F39" s="1">
        <v>3</v>
      </c>
      <c r="G39" s="1">
        <v>3</v>
      </c>
      <c r="H39" s="1">
        <v>2</v>
      </c>
      <c r="I39" s="1">
        <v>1.7</v>
      </c>
      <c r="J39" s="1" t="s">
        <v>20</v>
      </c>
      <c r="K39" s="1">
        <f>Table1[[#This Row],[Weight_kg]]/(Table1[[#This Row],[Height_cm]]/100)*2</f>
        <v>36.629960523581964</v>
      </c>
      <c r="L39" s="1" t="str" cm="1">
        <f t="array" ref="L39">_xlfn.IFS(Table1[[#This Row],[BMI]]&lt;18.5,"Under Weight",Table1[[#This Row],[BMI]]&lt;24.9,"Healthy Weight",Table1[[#This Row],[BMI]]&lt;29.9,"Overweight",Table1[[#This Row],[BMI]]&gt;=30,"Obesity")</f>
        <v>Obesity</v>
      </c>
      <c r="M39" s="1" t="str" cm="1">
        <f t="array" ref="M39">_xlfn.IFS(Table1[[#This Row],[Age_Months]]&lt;=36,"24-36 Months",Table1[[#This Row],[Age_Months]]&lt;=48,"37-48 Months",Table1[[#This Row],[Age_Months]]&gt;48,"Above 48 Months")</f>
        <v>24-36 Months</v>
      </c>
    </row>
    <row r="40" spans="1:13" x14ac:dyDescent="0.3">
      <c r="A40" s="1" t="s">
        <v>55</v>
      </c>
      <c r="B40" s="1">
        <v>28</v>
      </c>
      <c r="C40" s="1" t="s">
        <v>19</v>
      </c>
      <c r="D40" s="1">
        <v>97.25</v>
      </c>
      <c r="E40" s="1">
        <v>14.98</v>
      </c>
      <c r="F40" s="1">
        <v>3</v>
      </c>
      <c r="G40" s="1">
        <v>4</v>
      </c>
      <c r="H40" s="1">
        <v>3</v>
      </c>
      <c r="I40" s="1">
        <v>3.2</v>
      </c>
      <c r="J40" s="1" t="s">
        <v>14</v>
      </c>
      <c r="K40" s="1">
        <f>Table1[[#This Row],[Weight_kg]]/(Table1[[#This Row],[Height_cm]]/100)*2</f>
        <v>30.807197943444731</v>
      </c>
      <c r="L40" s="1" t="str" cm="1">
        <f t="array" ref="L40">_xlfn.IFS(Table1[[#This Row],[BMI]]&lt;18.5,"Under Weight",Table1[[#This Row],[BMI]]&lt;24.9,"Healthy Weight",Table1[[#This Row],[BMI]]&lt;29.9,"Overweight",Table1[[#This Row],[BMI]]&gt;=30,"Obesity")</f>
        <v>Obesity</v>
      </c>
      <c r="M40" s="1" t="str" cm="1">
        <f t="array" ref="M40">_xlfn.IFS(Table1[[#This Row],[Age_Months]]&lt;=36,"24-36 Months",Table1[[#This Row],[Age_Months]]&lt;=48,"37-48 Months",Table1[[#This Row],[Age_Months]]&gt;48,"Above 48 Months")</f>
        <v>24-36 Months</v>
      </c>
    </row>
    <row r="41" spans="1:13" x14ac:dyDescent="0.3">
      <c r="A41" s="1" t="s">
        <v>56</v>
      </c>
      <c r="B41" s="1">
        <v>48</v>
      </c>
      <c r="C41" s="1" t="s">
        <v>19</v>
      </c>
      <c r="D41" s="1">
        <v>108.23</v>
      </c>
      <c r="E41" s="1">
        <v>21</v>
      </c>
      <c r="F41" s="1">
        <v>3</v>
      </c>
      <c r="G41" s="1">
        <v>4</v>
      </c>
      <c r="H41" s="1">
        <v>0</v>
      </c>
      <c r="I41" s="1">
        <v>0.6</v>
      </c>
      <c r="J41" s="1" t="s">
        <v>14</v>
      </c>
      <c r="K41" s="1">
        <f>Table1[[#This Row],[Weight_kg]]/(Table1[[#This Row],[Height_cm]]/100)*2</f>
        <v>38.806245957682712</v>
      </c>
      <c r="L41" s="1" t="str" cm="1">
        <f t="array" ref="L41">_xlfn.IFS(Table1[[#This Row],[BMI]]&lt;18.5,"Under Weight",Table1[[#This Row],[BMI]]&lt;24.9,"Healthy Weight",Table1[[#This Row],[BMI]]&lt;29.9,"Overweight",Table1[[#This Row],[BMI]]&gt;=30,"Obesity")</f>
        <v>Obesity</v>
      </c>
      <c r="M41" s="1" t="str" cm="1">
        <f t="array" ref="M41">_xlfn.IFS(Table1[[#This Row],[Age_Months]]&lt;=36,"24-36 Months",Table1[[#This Row],[Age_Months]]&lt;=48,"37-48 Months",Table1[[#This Row],[Age_Months]]&gt;48,"Above 48 Months")</f>
        <v>37-48 Months</v>
      </c>
    </row>
    <row r="42" spans="1:13" x14ac:dyDescent="0.3">
      <c r="A42" s="1" t="s">
        <v>57</v>
      </c>
      <c r="B42" s="1">
        <v>27</v>
      </c>
      <c r="C42" s="1" t="s">
        <v>19</v>
      </c>
      <c r="D42" s="1">
        <v>97</v>
      </c>
      <c r="E42" s="1">
        <v>15.12</v>
      </c>
      <c r="F42" s="1">
        <v>4</v>
      </c>
      <c r="G42" s="1">
        <v>0</v>
      </c>
      <c r="H42" s="1">
        <v>1</v>
      </c>
      <c r="I42" s="1">
        <v>1.7</v>
      </c>
      <c r="J42" s="1" t="s">
        <v>24</v>
      </c>
      <c r="K42" s="1">
        <f>Table1[[#This Row],[Weight_kg]]/(Table1[[#This Row],[Height_cm]]/100)*2</f>
        <v>31.175257731958762</v>
      </c>
      <c r="L42" s="1" t="str" cm="1">
        <f t="array" ref="L42">_xlfn.IFS(Table1[[#This Row],[BMI]]&lt;18.5,"Under Weight",Table1[[#This Row],[BMI]]&lt;24.9,"Healthy Weight",Table1[[#This Row],[BMI]]&lt;29.9,"Overweight",Table1[[#This Row],[BMI]]&gt;=30,"Obesity")</f>
        <v>Obesity</v>
      </c>
      <c r="M42" s="1" t="str" cm="1">
        <f t="array" ref="M42">_xlfn.IFS(Table1[[#This Row],[Age_Months]]&lt;=36,"24-36 Months",Table1[[#This Row],[Age_Months]]&lt;=48,"37-48 Months",Table1[[#This Row],[Age_Months]]&gt;48,"Above 48 Months")</f>
        <v>24-36 Months</v>
      </c>
    </row>
    <row r="43" spans="1:13" x14ac:dyDescent="0.3">
      <c r="A43" s="1" t="s">
        <v>58</v>
      </c>
      <c r="B43" s="1">
        <v>45</v>
      </c>
      <c r="C43" s="1" t="s">
        <v>19</v>
      </c>
      <c r="D43" s="1">
        <v>107.27</v>
      </c>
      <c r="E43" s="1">
        <v>22.7</v>
      </c>
      <c r="F43" s="1">
        <v>4</v>
      </c>
      <c r="G43" s="1">
        <v>0</v>
      </c>
      <c r="H43" s="1">
        <v>0</v>
      </c>
      <c r="I43" s="1">
        <v>0.8</v>
      </c>
      <c r="J43" s="1" t="s">
        <v>12</v>
      </c>
      <c r="K43" s="1">
        <f>Table1[[#This Row],[Weight_kg]]/(Table1[[#This Row],[Height_cm]]/100)*2</f>
        <v>42.323109909573972</v>
      </c>
      <c r="L43" s="1" t="str" cm="1">
        <f t="array" ref="L43">_xlfn.IFS(Table1[[#This Row],[BMI]]&lt;18.5,"Under Weight",Table1[[#This Row],[BMI]]&lt;24.9,"Healthy Weight",Table1[[#This Row],[BMI]]&lt;29.9,"Overweight",Table1[[#This Row],[BMI]]&gt;=30,"Obesity")</f>
        <v>Obesity</v>
      </c>
      <c r="M43" s="1" t="str" cm="1">
        <f t="array" ref="M43">_xlfn.IFS(Table1[[#This Row],[Age_Months]]&lt;=36,"24-36 Months",Table1[[#This Row],[Age_Months]]&lt;=48,"37-48 Months",Table1[[#This Row],[Age_Months]]&gt;48,"Above 48 Months")</f>
        <v>37-48 Months</v>
      </c>
    </row>
    <row r="44" spans="1:13" x14ac:dyDescent="0.3">
      <c r="A44" s="1" t="s">
        <v>59</v>
      </c>
      <c r="B44" s="1">
        <v>54</v>
      </c>
      <c r="C44" s="1" t="s">
        <v>19</v>
      </c>
      <c r="D44" s="1">
        <v>112.46</v>
      </c>
      <c r="E44" s="1">
        <v>21.36</v>
      </c>
      <c r="F44" s="1">
        <v>2</v>
      </c>
      <c r="G44" s="1">
        <v>0</v>
      </c>
      <c r="H44" s="1">
        <v>1</v>
      </c>
      <c r="I44" s="1">
        <v>1</v>
      </c>
      <c r="J44" s="1" t="s">
        <v>14</v>
      </c>
      <c r="K44" s="1">
        <f>Table1[[#This Row],[Weight_kg]]/(Table1[[#This Row],[Height_cm]]/100)*2</f>
        <v>37.986839765249862</v>
      </c>
      <c r="L44" s="1" t="str" cm="1">
        <f t="array" ref="L44">_xlfn.IFS(Table1[[#This Row],[BMI]]&lt;18.5,"Under Weight",Table1[[#This Row],[BMI]]&lt;24.9,"Healthy Weight",Table1[[#This Row],[BMI]]&lt;29.9,"Overweight",Table1[[#This Row],[BMI]]&gt;=30,"Obesity")</f>
        <v>Obesity</v>
      </c>
      <c r="M44" s="1" t="str" cm="1">
        <f t="array" ref="M44">_xlfn.IFS(Table1[[#This Row],[Age_Months]]&lt;=36,"24-36 Months",Table1[[#This Row],[Age_Months]]&lt;=48,"37-48 Months",Table1[[#This Row],[Age_Months]]&gt;48,"Above 48 Months")</f>
        <v>Above 48 Months</v>
      </c>
    </row>
    <row r="45" spans="1:13" x14ac:dyDescent="0.3">
      <c r="A45" s="1" t="s">
        <v>60</v>
      </c>
      <c r="B45" s="1">
        <v>40</v>
      </c>
      <c r="C45" s="1" t="s">
        <v>19</v>
      </c>
      <c r="D45" s="1">
        <v>103.32</v>
      </c>
      <c r="E45" s="1">
        <v>17.41</v>
      </c>
      <c r="F45" s="1">
        <v>1</v>
      </c>
      <c r="G45" s="1">
        <v>0</v>
      </c>
      <c r="H45" s="1">
        <v>2</v>
      </c>
      <c r="I45" s="1">
        <v>2</v>
      </c>
      <c r="J45" s="1" t="s">
        <v>20</v>
      </c>
      <c r="K45" s="1">
        <f>Table1[[#This Row],[Weight_kg]]/(Table1[[#This Row],[Height_cm]]/100)*2</f>
        <v>33.701122725512974</v>
      </c>
      <c r="L45" s="1" t="str" cm="1">
        <f t="array" ref="L45">_xlfn.IFS(Table1[[#This Row],[BMI]]&lt;18.5,"Under Weight",Table1[[#This Row],[BMI]]&lt;24.9,"Healthy Weight",Table1[[#This Row],[BMI]]&lt;29.9,"Overweight",Table1[[#This Row],[BMI]]&gt;=30,"Obesity")</f>
        <v>Obesity</v>
      </c>
      <c r="M45" s="1" t="str" cm="1">
        <f t="array" ref="M45">_xlfn.IFS(Table1[[#This Row],[Age_Months]]&lt;=36,"24-36 Months",Table1[[#This Row],[Age_Months]]&lt;=48,"37-48 Months",Table1[[#This Row],[Age_Months]]&gt;48,"Above 48 Months")</f>
        <v>37-48 Months</v>
      </c>
    </row>
    <row r="46" spans="1:13" x14ac:dyDescent="0.3">
      <c r="A46" s="1" t="s">
        <v>61</v>
      </c>
      <c r="B46" s="1">
        <v>52</v>
      </c>
      <c r="C46" s="1" t="s">
        <v>11</v>
      </c>
      <c r="D46" s="1">
        <v>107.31</v>
      </c>
      <c r="E46" s="1">
        <v>17.34</v>
      </c>
      <c r="F46" s="1">
        <v>1</v>
      </c>
      <c r="G46" s="1">
        <v>3</v>
      </c>
      <c r="H46" s="1">
        <v>0</v>
      </c>
      <c r="I46" s="1">
        <v>0.5</v>
      </c>
      <c r="J46" s="1" t="s">
        <v>24</v>
      </c>
      <c r="K46" s="1">
        <f>Table1[[#This Row],[Weight_kg]]/(Table1[[#This Row],[Height_cm]]/100)*2</f>
        <v>32.317584568073805</v>
      </c>
      <c r="L46" s="1" t="str" cm="1">
        <f t="array" ref="L46">_xlfn.IFS(Table1[[#This Row],[BMI]]&lt;18.5,"Under Weight",Table1[[#This Row],[BMI]]&lt;24.9,"Healthy Weight",Table1[[#This Row],[BMI]]&lt;29.9,"Overweight",Table1[[#This Row],[BMI]]&gt;=30,"Obesity")</f>
        <v>Obesity</v>
      </c>
      <c r="M46" s="1" t="str" cm="1">
        <f t="array" ref="M46">_xlfn.IFS(Table1[[#This Row],[Age_Months]]&lt;=36,"24-36 Months",Table1[[#This Row],[Age_Months]]&lt;=48,"37-48 Months",Table1[[#This Row],[Age_Months]]&gt;48,"Above 48 Months")</f>
        <v>Above 48 Months</v>
      </c>
    </row>
    <row r="47" spans="1:13" x14ac:dyDescent="0.3">
      <c r="A47" s="1" t="s">
        <v>62</v>
      </c>
      <c r="B47" s="1">
        <v>34</v>
      </c>
      <c r="C47" s="1" t="s">
        <v>19</v>
      </c>
      <c r="D47" s="1">
        <v>99.12</v>
      </c>
      <c r="E47" s="1">
        <v>17.43</v>
      </c>
      <c r="F47" s="1">
        <v>3</v>
      </c>
      <c r="G47" s="1">
        <v>4</v>
      </c>
      <c r="H47" s="1">
        <v>3</v>
      </c>
      <c r="I47" s="1">
        <v>1.6</v>
      </c>
      <c r="J47" s="1" t="s">
        <v>12</v>
      </c>
      <c r="K47" s="1">
        <f>Table1[[#This Row],[Weight_kg]]/(Table1[[#This Row],[Height_cm]]/100)*2</f>
        <v>35.169491525423723</v>
      </c>
      <c r="L47" s="1" t="str" cm="1">
        <f t="array" ref="L47">_xlfn.IFS(Table1[[#This Row],[BMI]]&lt;18.5,"Under Weight",Table1[[#This Row],[BMI]]&lt;24.9,"Healthy Weight",Table1[[#This Row],[BMI]]&lt;29.9,"Overweight",Table1[[#This Row],[BMI]]&gt;=30,"Obesity")</f>
        <v>Obesity</v>
      </c>
      <c r="M47" s="1" t="str" cm="1">
        <f t="array" ref="M47">_xlfn.IFS(Table1[[#This Row],[Age_Months]]&lt;=36,"24-36 Months",Table1[[#This Row],[Age_Months]]&lt;=48,"37-48 Months",Table1[[#This Row],[Age_Months]]&gt;48,"Above 48 Months")</f>
        <v>24-36 Months</v>
      </c>
    </row>
    <row r="48" spans="1:13" x14ac:dyDescent="0.3">
      <c r="A48" s="1" t="s">
        <v>63</v>
      </c>
      <c r="B48" s="1">
        <v>27</v>
      </c>
      <c r="C48" s="1" t="s">
        <v>19</v>
      </c>
      <c r="D48" s="1">
        <v>93.16</v>
      </c>
      <c r="E48" s="1">
        <v>15.53</v>
      </c>
      <c r="F48" s="1">
        <v>2</v>
      </c>
      <c r="G48" s="1">
        <v>2</v>
      </c>
      <c r="H48" s="1">
        <v>0</v>
      </c>
      <c r="I48" s="1">
        <v>0.8</v>
      </c>
      <c r="J48" s="1" t="s">
        <v>14</v>
      </c>
      <c r="K48" s="1">
        <f>Table1[[#This Row],[Weight_kg]]/(Table1[[#This Row],[Height_cm]]/100)*2</f>
        <v>33.340489480463717</v>
      </c>
      <c r="L48" s="1" t="str" cm="1">
        <f t="array" ref="L48">_xlfn.IFS(Table1[[#This Row],[BMI]]&lt;18.5,"Under Weight",Table1[[#This Row],[BMI]]&lt;24.9,"Healthy Weight",Table1[[#This Row],[BMI]]&lt;29.9,"Overweight",Table1[[#This Row],[BMI]]&gt;=30,"Obesity")</f>
        <v>Obesity</v>
      </c>
      <c r="M48" s="1" t="str" cm="1">
        <f t="array" ref="M48">_xlfn.IFS(Table1[[#This Row],[Age_Months]]&lt;=36,"24-36 Months",Table1[[#This Row],[Age_Months]]&lt;=48,"37-48 Months",Table1[[#This Row],[Age_Months]]&gt;48,"Above 48 Months")</f>
        <v>24-36 Months</v>
      </c>
    </row>
    <row r="49" spans="1:13" x14ac:dyDescent="0.3">
      <c r="A49" s="1" t="s">
        <v>64</v>
      </c>
      <c r="B49" s="1">
        <v>55</v>
      </c>
      <c r="C49" s="1" t="s">
        <v>19</v>
      </c>
      <c r="D49" s="1">
        <v>111.49</v>
      </c>
      <c r="E49" s="1">
        <v>20.23</v>
      </c>
      <c r="F49" s="1">
        <v>1</v>
      </c>
      <c r="G49" s="1">
        <v>0</v>
      </c>
      <c r="H49" s="1">
        <v>1</v>
      </c>
      <c r="I49" s="1">
        <v>1.6</v>
      </c>
      <c r="J49" s="1" t="s">
        <v>24</v>
      </c>
      <c r="K49" s="1">
        <f>Table1[[#This Row],[Weight_kg]]/(Table1[[#This Row],[Height_cm]]/100)*2</f>
        <v>36.290250246658893</v>
      </c>
      <c r="L49" s="1" t="str" cm="1">
        <f t="array" ref="L49">_xlfn.IFS(Table1[[#This Row],[BMI]]&lt;18.5,"Under Weight",Table1[[#This Row],[BMI]]&lt;24.9,"Healthy Weight",Table1[[#This Row],[BMI]]&lt;29.9,"Overweight",Table1[[#This Row],[BMI]]&gt;=30,"Obesity")</f>
        <v>Obesity</v>
      </c>
      <c r="M49" s="1" t="str" cm="1">
        <f t="array" ref="M49">_xlfn.IFS(Table1[[#This Row],[Age_Months]]&lt;=36,"24-36 Months",Table1[[#This Row],[Age_Months]]&lt;=48,"37-48 Months",Table1[[#This Row],[Age_Months]]&gt;48,"Above 48 Months")</f>
        <v>Above 48 Months</v>
      </c>
    </row>
    <row r="50" spans="1:13" x14ac:dyDescent="0.3">
      <c r="A50" s="1" t="s">
        <v>65</v>
      </c>
      <c r="B50" s="1">
        <v>42</v>
      </c>
      <c r="C50" s="1" t="s">
        <v>11</v>
      </c>
      <c r="D50" s="1">
        <v>108.71</v>
      </c>
      <c r="E50" s="1">
        <v>16.2</v>
      </c>
      <c r="F50" s="1">
        <v>2</v>
      </c>
      <c r="G50" s="1">
        <v>1</v>
      </c>
      <c r="H50" s="1">
        <v>3</v>
      </c>
      <c r="I50" s="1">
        <v>1.1000000000000001</v>
      </c>
      <c r="J50" s="1" t="s">
        <v>24</v>
      </c>
      <c r="K50" s="1">
        <f>Table1[[#This Row],[Weight_kg]]/(Table1[[#This Row],[Height_cm]]/100)*2</f>
        <v>29.804065863306043</v>
      </c>
      <c r="L50" s="1" t="str" cm="1">
        <f t="array" ref="L50">_xlfn.IFS(Table1[[#This Row],[BMI]]&lt;18.5,"Under Weight",Table1[[#This Row],[BMI]]&lt;24.9,"Healthy Weight",Table1[[#This Row],[BMI]]&lt;29.9,"Overweight",Table1[[#This Row],[BMI]]&gt;=30,"Obesity")</f>
        <v>Overweight</v>
      </c>
      <c r="M50" s="1" t="str" cm="1">
        <f t="array" ref="M50">_xlfn.IFS(Table1[[#This Row],[Age_Months]]&lt;=36,"24-36 Months",Table1[[#This Row],[Age_Months]]&lt;=48,"37-48 Months",Table1[[#This Row],[Age_Months]]&gt;48,"Above 48 Months")</f>
        <v>37-48 Months</v>
      </c>
    </row>
    <row r="51" spans="1:13" x14ac:dyDescent="0.3">
      <c r="A51" s="1" t="s">
        <v>66</v>
      </c>
      <c r="B51" s="1">
        <v>36</v>
      </c>
      <c r="C51" s="1" t="s">
        <v>11</v>
      </c>
      <c r="D51" s="1">
        <v>97.21</v>
      </c>
      <c r="E51" s="1">
        <v>13.41</v>
      </c>
      <c r="F51" s="1">
        <v>4</v>
      </c>
      <c r="G51" s="1">
        <v>3</v>
      </c>
      <c r="H51" s="1">
        <v>1</v>
      </c>
      <c r="I51" s="1">
        <v>0.9</v>
      </c>
      <c r="J51" s="1" t="s">
        <v>14</v>
      </c>
      <c r="K51" s="1">
        <f>Table1[[#This Row],[Weight_kg]]/(Table1[[#This Row],[Height_cm]]/100)*2</f>
        <v>27.589754140520522</v>
      </c>
      <c r="L51" s="1" t="str" cm="1">
        <f t="array" ref="L51">_xlfn.IFS(Table1[[#This Row],[BMI]]&lt;18.5,"Under Weight",Table1[[#This Row],[BMI]]&lt;24.9,"Healthy Weight",Table1[[#This Row],[BMI]]&lt;29.9,"Overweight",Table1[[#This Row],[BMI]]&gt;=30,"Obesity")</f>
        <v>Overweight</v>
      </c>
      <c r="M51" s="1" t="str" cm="1">
        <f t="array" ref="M51">_xlfn.IFS(Table1[[#This Row],[Age_Months]]&lt;=36,"24-36 Months",Table1[[#This Row],[Age_Months]]&lt;=48,"37-48 Months",Table1[[#This Row],[Age_Months]]&gt;48,"Above 48 Months")</f>
        <v>24-36 Months</v>
      </c>
    </row>
    <row r="52" spans="1:13" x14ac:dyDescent="0.3">
      <c r="A52" s="1" t="s">
        <v>67</v>
      </c>
      <c r="B52" s="1">
        <v>34</v>
      </c>
      <c r="C52" s="1" t="s">
        <v>11</v>
      </c>
      <c r="D52" s="1">
        <v>98.46</v>
      </c>
      <c r="E52" s="1">
        <v>15.38</v>
      </c>
      <c r="F52" s="1">
        <v>3</v>
      </c>
      <c r="G52" s="1">
        <v>2</v>
      </c>
      <c r="H52" s="1">
        <v>2</v>
      </c>
      <c r="I52" s="1">
        <v>1.2</v>
      </c>
      <c r="J52" s="1" t="s">
        <v>12</v>
      </c>
      <c r="K52" s="1">
        <f>Table1[[#This Row],[Weight_kg]]/(Table1[[#This Row],[Height_cm]]/100)*2</f>
        <v>31.241113142392855</v>
      </c>
      <c r="L52" s="1" t="str" cm="1">
        <f t="array" ref="L52">_xlfn.IFS(Table1[[#This Row],[BMI]]&lt;18.5,"Under Weight",Table1[[#This Row],[BMI]]&lt;24.9,"Healthy Weight",Table1[[#This Row],[BMI]]&lt;29.9,"Overweight",Table1[[#This Row],[BMI]]&gt;=30,"Obesity")</f>
        <v>Obesity</v>
      </c>
      <c r="M52" s="1" t="str" cm="1">
        <f t="array" ref="M52">_xlfn.IFS(Table1[[#This Row],[Age_Months]]&lt;=36,"24-36 Months",Table1[[#This Row],[Age_Months]]&lt;=48,"37-48 Months",Table1[[#This Row],[Age_Months]]&gt;48,"Above 48 Months")</f>
        <v>24-36 Months</v>
      </c>
    </row>
    <row r="53" spans="1:13" x14ac:dyDescent="0.3">
      <c r="A53" s="1" t="s">
        <v>68</v>
      </c>
      <c r="B53" s="1">
        <v>40</v>
      </c>
      <c r="C53" s="1" t="s">
        <v>11</v>
      </c>
      <c r="D53" s="1">
        <v>100.6</v>
      </c>
      <c r="E53" s="1">
        <v>17.309999999999999</v>
      </c>
      <c r="F53" s="1">
        <v>0</v>
      </c>
      <c r="G53" s="1">
        <v>3</v>
      </c>
      <c r="H53" s="1">
        <v>0</v>
      </c>
      <c r="I53" s="1">
        <v>0.6</v>
      </c>
      <c r="J53" s="1" t="s">
        <v>27</v>
      </c>
      <c r="K53" s="1">
        <f>Table1[[#This Row],[Weight_kg]]/(Table1[[#This Row],[Height_cm]]/100)*2</f>
        <v>34.413518886679917</v>
      </c>
      <c r="L53" s="1" t="str" cm="1">
        <f t="array" ref="L53">_xlfn.IFS(Table1[[#This Row],[BMI]]&lt;18.5,"Under Weight",Table1[[#This Row],[BMI]]&lt;24.9,"Healthy Weight",Table1[[#This Row],[BMI]]&lt;29.9,"Overweight",Table1[[#This Row],[BMI]]&gt;=30,"Obesity")</f>
        <v>Obesity</v>
      </c>
      <c r="M53" s="1" t="str" cm="1">
        <f t="array" ref="M53">_xlfn.IFS(Table1[[#This Row],[Age_Months]]&lt;=36,"24-36 Months",Table1[[#This Row],[Age_Months]]&lt;=48,"37-48 Months",Table1[[#This Row],[Age_Months]]&gt;48,"Above 48 Months")</f>
        <v>37-48 Months</v>
      </c>
    </row>
    <row r="54" spans="1:13" x14ac:dyDescent="0.3">
      <c r="A54" s="1" t="s">
        <v>69</v>
      </c>
      <c r="B54" s="1">
        <v>39</v>
      </c>
      <c r="C54" s="1" t="s">
        <v>11</v>
      </c>
      <c r="D54" s="1">
        <v>96.54</v>
      </c>
      <c r="E54" s="1">
        <v>18.239999999999998</v>
      </c>
      <c r="F54" s="1">
        <v>4</v>
      </c>
      <c r="G54" s="1">
        <v>3</v>
      </c>
      <c r="H54" s="1">
        <v>1</v>
      </c>
      <c r="I54" s="1">
        <v>1.9</v>
      </c>
      <c r="J54" s="1" t="s">
        <v>27</v>
      </c>
      <c r="K54" s="1">
        <f>Table1[[#This Row],[Weight_kg]]/(Table1[[#This Row],[Height_cm]]/100)*2</f>
        <v>37.787445618396518</v>
      </c>
      <c r="L54" s="1" t="str" cm="1">
        <f t="array" ref="L54">_xlfn.IFS(Table1[[#This Row],[BMI]]&lt;18.5,"Under Weight",Table1[[#This Row],[BMI]]&lt;24.9,"Healthy Weight",Table1[[#This Row],[BMI]]&lt;29.9,"Overweight",Table1[[#This Row],[BMI]]&gt;=30,"Obesity")</f>
        <v>Obesity</v>
      </c>
      <c r="M54" s="1" t="str" cm="1">
        <f t="array" ref="M54">_xlfn.IFS(Table1[[#This Row],[Age_Months]]&lt;=36,"24-36 Months",Table1[[#This Row],[Age_Months]]&lt;=48,"37-48 Months",Table1[[#This Row],[Age_Months]]&gt;48,"Above 48 Months")</f>
        <v>37-48 Months</v>
      </c>
    </row>
    <row r="55" spans="1:13" x14ac:dyDescent="0.3">
      <c r="A55" s="1" t="s">
        <v>70</v>
      </c>
      <c r="B55" s="1">
        <v>57</v>
      </c>
      <c r="C55" s="1" t="s">
        <v>19</v>
      </c>
      <c r="D55" s="1">
        <v>110.58</v>
      </c>
      <c r="E55" s="1">
        <v>21.99</v>
      </c>
      <c r="F55" s="1">
        <v>3</v>
      </c>
      <c r="G55" s="1">
        <v>0</v>
      </c>
      <c r="H55" s="1">
        <v>0</v>
      </c>
      <c r="I55" s="1">
        <v>0.9</v>
      </c>
      <c r="J55" s="1" t="s">
        <v>12</v>
      </c>
      <c r="K55" s="1">
        <f>Table1[[#This Row],[Weight_kg]]/(Table1[[#This Row],[Height_cm]]/100)*2</f>
        <v>39.772110689093871</v>
      </c>
      <c r="L55" s="1" t="str" cm="1">
        <f t="array" ref="L55">_xlfn.IFS(Table1[[#This Row],[BMI]]&lt;18.5,"Under Weight",Table1[[#This Row],[BMI]]&lt;24.9,"Healthy Weight",Table1[[#This Row],[BMI]]&lt;29.9,"Overweight",Table1[[#This Row],[BMI]]&gt;=30,"Obesity")</f>
        <v>Obesity</v>
      </c>
      <c r="M55" s="1" t="str" cm="1">
        <f t="array" ref="M55">_xlfn.IFS(Table1[[#This Row],[Age_Months]]&lt;=36,"24-36 Months",Table1[[#This Row],[Age_Months]]&lt;=48,"37-48 Months",Table1[[#This Row],[Age_Months]]&gt;48,"Above 48 Months")</f>
        <v>Above 48 Months</v>
      </c>
    </row>
    <row r="56" spans="1:13" x14ac:dyDescent="0.3">
      <c r="A56" s="1" t="s">
        <v>71</v>
      </c>
      <c r="B56" s="1">
        <v>50</v>
      </c>
      <c r="C56" s="1" t="s">
        <v>11</v>
      </c>
      <c r="D56" s="1">
        <v>114.47</v>
      </c>
      <c r="E56" s="1">
        <v>18.010000000000002</v>
      </c>
      <c r="F56" s="1">
        <v>1</v>
      </c>
      <c r="G56" s="1">
        <v>3</v>
      </c>
      <c r="H56" s="1">
        <v>0</v>
      </c>
      <c r="I56" s="1">
        <v>0.6</v>
      </c>
      <c r="J56" s="1" t="s">
        <v>24</v>
      </c>
      <c r="K56" s="1">
        <f>Table1[[#This Row],[Weight_kg]]/(Table1[[#This Row],[Height_cm]]/100)*2</f>
        <v>31.466759849742292</v>
      </c>
      <c r="L56" s="1" t="str" cm="1">
        <f t="array" ref="L56">_xlfn.IFS(Table1[[#This Row],[BMI]]&lt;18.5,"Under Weight",Table1[[#This Row],[BMI]]&lt;24.9,"Healthy Weight",Table1[[#This Row],[BMI]]&lt;29.9,"Overweight",Table1[[#This Row],[BMI]]&gt;=30,"Obesity")</f>
        <v>Obesity</v>
      </c>
      <c r="M56" s="1" t="str" cm="1">
        <f t="array" ref="M56">_xlfn.IFS(Table1[[#This Row],[Age_Months]]&lt;=36,"24-36 Months",Table1[[#This Row],[Age_Months]]&lt;=48,"37-48 Months",Table1[[#This Row],[Age_Months]]&gt;48,"Above 48 Months")</f>
        <v>Above 48 Months</v>
      </c>
    </row>
    <row r="57" spans="1:13" x14ac:dyDescent="0.3">
      <c r="A57" s="1" t="s">
        <v>72</v>
      </c>
      <c r="B57" s="1">
        <v>31</v>
      </c>
      <c r="C57" s="1" t="s">
        <v>11</v>
      </c>
      <c r="D57" s="1">
        <v>96.28</v>
      </c>
      <c r="E57" s="1">
        <v>16.84</v>
      </c>
      <c r="F57" s="1">
        <v>4</v>
      </c>
      <c r="G57" s="1">
        <v>2</v>
      </c>
      <c r="H57" s="1">
        <v>3</v>
      </c>
      <c r="I57" s="1">
        <v>0.5</v>
      </c>
      <c r="J57" s="1" t="s">
        <v>20</v>
      </c>
      <c r="K57" s="1">
        <f>Table1[[#This Row],[Weight_kg]]/(Table1[[#This Row],[Height_cm]]/100)*2</f>
        <v>34.981304528458665</v>
      </c>
      <c r="L57" s="1" t="str" cm="1">
        <f t="array" ref="L57">_xlfn.IFS(Table1[[#This Row],[BMI]]&lt;18.5,"Under Weight",Table1[[#This Row],[BMI]]&lt;24.9,"Healthy Weight",Table1[[#This Row],[BMI]]&lt;29.9,"Overweight",Table1[[#This Row],[BMI]]&gt;=30,"Obesity")</f>
        <v>Obesity</v>
      </c>
      <c r="M57" s="1" t="str" cm="1">
        <f t="array" ref="M57">_xlfn.IFS(Table1[[#This Row],[Age_Months]]&lt;=36,"24-36 Months",Table1[[#This Row],[Age_Months]]&lt;=48,"37-48 Months",Table1[[#This Row],[Age_Months]]&gt;48,"Above 48 Months")</f>
        <v>24-36 Months</v>
      </c>
    </row>
    <row r="58" spans="1:13" x14ac:dyDescent="0.3">
      <c r="A58" s="1" t="s">
        <v>73</v>
      </c>
      <c r="B58" s="1">
        <v>44</v>
      </c>
      <c r="C58" s="1" t="s">
        <v>11</v>
      </c>
      <c r="D58" s="1">
        <v>104.76</v>
      </c>
      <c r="E58" s="1">
        <v>18.399999999999999</v>
      </c>
      <c r="F58" s="1">
        <v>4</v>
      </c>
      <c r="G58" s="1">
        <v>2</v>
      </c>
      <c r="H58" s="1">
        <v>1</v>
      </c>
      <c r="I58" s="1">
        <v>0.7</v>
      </c>
      <c r="J58" s="1" t="s">
        <v>12</v>
      </c>
      <c r="K58" s="1">
        <f>Table1[[#This Row],[Weight_kg]]/(Table1[[#This Row],[Height_cm]]/100)*2</f>
        <v>35.127911416571202</v>
      </c>
      <c r="L58" s="1" t="str" cm="1">
        <f t="array" ref="L58">_xlfn.IFS(Table1[[#This Row],[BMI]]&lt;18.5,"Under Weight",Table1[[#This Row],[BMI]]&lt;24.9,"Healthy Weight",Table1[[#This Row],[BMI]]&lt;29.9,"Overweight",Table1[[#This Row],[BMI]]&gt;=30,"Obesity")</f>
        <v>Obesity</v>
      </c>
      <c r="M58" s="1" t="str" cm="1">
        <f t="array" ref="M58">_xlfn.IFS(Table1[[#This Row],[Age_Months]]&lt;=36,"24-36 Months",Table1[[#This Row],[Age_Months]]&lt;=48,"37-48 Months",Table1[[#This Row],[Age_Months]]&gt;48,"Above 48 Months")</f>
        <v>37-48 Months</v>
      </c>
    </row>
    <row r="59" spans="1:13" x14ac:dyDescent="0.3">
      <c r="A59" s="1" t="s">
        <v>74</v>
      </c>
      <c r="B59" s="1">
        <v>42</v>
      </c>
      <c r="C59" s="1" t="s">
        <v>19</v>
      </c>
      <c r="D59" s="1">
        <v>105.35</v>
      </c>
      <c r="E59" s="1">
        <v>19.88</v>
      </c>
      <c r="F59" s="1">
        <v>1</v>
      </c>
      <c r="G59" s="1">
        <v>2</v>
      </c>
      <c r="H59" s="1">
        <v>2</v>
      </c>
      <c r="I59" s="1">
        <v>2.8</v>
      </c>
      <c r="J59" s="1" t="s">
        <v>20</v>
      </c>
      <c r="K59" s="1">
        <f>Table1[[#This Row],[Weight_kg]]/(Table1[[#This Row],[Height_cm]]/100)*2</f>
        <v>37.740863787375417</v>
      </c>
      <c r="L59" s="1" t="str" cm="1">
        <f t="array" ref="L59">_xlfn.IFS(Table1[[#This Row],[BMI]]&lt;18.5,"Under Weight",Table1[[#This Row],[BMI]]&lt;24.9,"Healthy Weight",Table1[[#This Row],[BMI]]&lt;29.9,"Overweight",Table1[[#This Row],[BMI]]&gt;=30,"Obesity")</f>
        <v>Obesity</v>
      </c>
      <c r="M59" s="1" t="str" cm="1">
        <f t="array" ref="M59">_xlfn.IFS(Table1[[#This Row],[Age_Months]]&lt;=36,"24-36 Months",Table1[[#This Row],[Age_Months]]&lt;=48,"37-48 Months",Table1[[#This Row],[Age_Months]]&gt;48,"Above 48 Months")</f>
        <v>37-48 Months</v>
      </c>
    </row>
    <row r="60" spans="1:13" x14ac:dyDescent="0.3">
      <c r="A60" s="1" t="s">
        <v>75</v>
      </c>
      <c r="B60" s="1">
        <v>59</v>
      </c>
      <c r="C60" s="1" t="s">
        <v>19</v>
      </c>
      <c r="D60" s="1">
        <v>110.75</v>
      </c>
      <c r="E60" s="1">
        <v>24.56</v>
      </c>
      <c r="F60" s="1">
        <v>4</v>
      </c>
      <c r="G60" s="1">
        <v>4</v>
      </c>
      <c r="H60" s="1">
        <v>1</v>
      </c>
      <c r="I60" s="1">
        <v>1.7</v>
      </c>
      <c r="J60" s="1" t="s">
        <v>12</v>
      </c>
      <c r="K60" s="1">
        <f>Table1[[#This Row],[Weight_kg]]/(Table1[[#This Row],[Height_cm]]/100)*2</f>
        <v>44.35214446952596</v>
      </c>
      <c r="L60" s="1" t="str" cm="1">
        <f t="array" ref="L60">_xlfn.IFS(Table1[[#This Row],[BMI]]&lt;18.5,"Under Weight",Table1[[#This Row],[BMI]]&lt;24.9,"Healthy Weight",Table1[[#This Row],[BMI]]&lt;29.9,"Overweight",Table1[[#This Row],[BMI]]&gt;=30,"Obesity")</f>
        <v>Obesity</v>
      </c>
      <c r="M60" s="1" t="str" cm="1">
        <f t="array" ref="M60">_xlfn.IFS(Table1[[#This Row],[Age_Months]]&lt;=36,"24-36 Months",Table1[[#This Row],[Age_Months]]&lt;=48,"37-48 Months",Table1[[#This Row],[Age_Months]]&gt;48,"Above 48 Months")</f>
        <v>Above 48 Months</v>
      </c>
    </row>
    <row r="61" spans="1:13" x14ac:dyDescent="0.3">
      <c r="A61" s="1" t="s">
        <v>76</v>
      </c>
      <c r="B61" s="1">
        <v>56</v>
      </c>
      <c r="C61" s="1" t="s">
        <v>19</v>
      </c>
      <c r="D61" s="1">
        <v>108</v>
      </c>
      <c r="E61" s="1">
        <v>22.24</v>
      </c>
      <c r="F61" s="1">
        <v>2</v>
      </c>
      <c r="G61" s="1">
        <v>4</v>
      </c>
      <c r="H61" s="1">
        <v>2</v>
      </c>
      <c r="I61" s="1">
        <v>1.1000000000000001</v>
      </c>
      <c r="J61" s="1" t="s">
        <v>14</v>
      </c>
      <c r="K61" s="1">
        <f>Table1[[#This Row],[Weight_kg]]/(Table1[[#This Row],[Height_cm]]/100)*2</f>
        <v>41.185185185185176</v>
      </c>
      <c r="L61" s="1" t="str" cm="1">
        <f t="array" ref="L61">_xlfn.IFS(Table1[[#This Row],[BMI]]&lt;18.5,"Under Weight",Table1[[#This Row],[BMI]]&lt;24.9,"Healthy Weight",Table1[[#This Row],[BMI]]&lt;29.9,"Overweight",Table1[[#This Row],[BMI]]&gt;=30,"Obesity")</f>
        <v>Obesity</v>
      </c>
      <c r="M61" s="1" t="str" cm="1">
        <f t="array" ref="M61">_xlfn.IFS(Table1[[#This Row],[Age_Months]]&lt;=36,"24-36 Months",Table1[[#This Row],[Age_Months]]&lt;=48,"37-48 Months",Table1[[#This Row],[Age_Months]]&gt;48,"Above 48 Months")</f>
        <v>Above 48 Months</v>
      </c>
    </row>
    <row r="62" spans="1:13" x14ac:dyDescent="0.3">
      <c r="A62" s="1" t="s">
        <v>77</v>
      </c>
      <c r="B62" s="1">
        <v>32</v>
      </c>
      <c r="C62" s="1" t="s">
        <v>11</v>
      </c>
      <c r="D62" s="1">
        <v>98.63</v>
      </c>
      <c r="E62" s="1">
        <v>17.96</v>
      </c>
      <c r="F62" s="1">
        <v>0</v>
      </c>
      <c r="G62" s="1">
        <v>0</v>
      </c>
      <c r="H62" s="1">
        <v>2</v>
      </c>
      <c r="I62" s="1">
        <v>2.6</v>
      </c>
      <c r="J62" s="1" t="s">
        <v>24</v>
      </c>
      <c r="K62" s="1">
        <f>Table1[[#This Row],[Weight_kg]]/(Table1[[#This Row],[Height_cm]]/100)*2</f>
        <v>36.418939470749265</v>
      </c>
      <c r="L62" s="1" t="str" cm="1">
        <f t="array" ref="L62">_xlfn.IFS(Table1[[#This Row],[BMI]]&lt;18.5,"Under Weight",Table1[[#This Row],[BMI]]&lt;24.9,"Healthy Weight",Table1[[#This Row],[BMI]]&lt;29.9,"Overweight",Table1[[#This Row],[BMI]]&gt;=30,"Obesity")</f>
        <v>Obesity</v>
      </c>
      <c r="M62" s="1" t="str" cm="1">
        <f t="array" ref="M62">_xlfn.IFS(Table1[[#This Row],[Age_Months]]&lt;=36,"24-36 Months",Table1[[#This Row],[Age_Months]]&lt;=48,"37-48 Months",Table1[[#This Row],[Age_Months]]&gt;48,"Above 48 Months")</f>
        <v>24-36 Months</v>
      </c>
    </row>
    <row r="63" spans="1:13" x14ac:dyDescent="0.3">
      <c r="A63" s="1" t="s">
        <v>78</v>
      </c>
      <c r="B63" s="1">
        <v>47</v>
      </c>
      <c r="C63" s="1" t="s">
        <v>11</v>
      </c>
      <c r="D63" s="1">
        <v>103.57</v>
      </c>
      <c r="E63" s="1">
        <v>22.13</v>
      </c>
      <c r="F63" s="1">
        <v>3</v>
      </c>
      <c r="G63" s="1">
        <v>2</v>
      </c>
      <c r="H63" s="1">
        <v>0</v>
      </c>
      <c r="I63" s="1">
        <v>0.6</v>
      </c>
      <c r="J63" s="1" t="s">
        <v>12</v>
      </c>
      <c r="K63" s="1">
        <f>Table1[[#This Row],[Weight_kg]]/(Table1[[#This Row],[Height_cm]]/100)*2</f>
        <v>42.734382543207495</v>
      </c>
      <c r="L63" s="1" t="str" cm="1">
        <f t="array" ref="L63">_xlfn.IFS(Table1[[#This Row],[BMI]]&lt;18.5,"Under Weight",Table1[[#This Row],[BMI]]&lt;24.9,"Healthy Weight",Table1[[#This Row],[BMI]]&lt;29.9,"Overweight",Table1[[#This Row],[BMI]]&gt;=30,"Obesity")</f>
        <v>Obesity</v>
      </c>
      <c r="M63" s="1" t="str" cm="1">
        <f t="array" ref="M63">_xlfn.IFS(Table1[[#This Row],[Age_Months]]&lt;=36,"24-36 Months",Table1[[#This Row],[Age_Months]]&lt;=48,"37-48 Months",Table1[[#This Row],[Age_Months]]&gt;48,"Above 48 Months")</f>
        <v>37-48 Months</v>
      </c>
    </row>
    <row r="64" spans="1:13" x14ac:dyDescent="0.3">
      <c r="A64" s="1" t="s">
        <v>79</v>
      </c>
      <c r="B64" s="1">
        <v>28</v>
      </c>
      <c r="C64" s="1" t="s">
        <v>19</v>
      </c>
      <c r="D64" s="1">
        <v>92.72</v>
      </c>
      <c r="E64" s="1">
        <v>15.7</v>
      </c>
      <c r="F64" s="1">
        <v>4</v>
      </c>
      <c r="G64" s="1">
        <v>0</v>
      </c>
      <c r="H64" s="1">
        <v>1</v>
      </c>
      <c r="I64" s="1">
        <v>0.5</v>
      </c>
      <c r="J64" s="1" t="s">
        <v>24</v>
      </c>
      <c r="K64" s="1">
        <f>Table1[[#This Row],[Weight_kg]]/(Table1[[#This Row],[Height_cm]]/100)*2</f>
        <v>33.865401207937872</v>
      </c>
      <c r="L64" s="1" t="str" cm="1">
        <f t="array" ref="L64">_xlfn.IFS(Table1[[#This Row],[BMI]]&lt;18.5,"Under Weight",Table1[[#This Row],[BMI]]&lt;24.9,"Healthy Weight",Table1[[#This Row],[BMI]]&lt;29.9,"Overweight",Table1[[#This Row],[BMI]]&gt;=30,"Obesity")</f>
        <v>Obesity</v>
      </c>
      <c r="M64" s="1" t="str" cm="1">
        <f t="array" ref="M64">_xlfn.IFS(Table1[[#This Row],[Age_Months]]&lt;=36,"24-36 Months",Table1[[#This Row],[Age_Months]]&lt;=48,"37-48 Months",Table1[[#This Row],[Age_Months]]&gt;48,"Above 48 Months")</f>
        <v>24-36 Months</v>
      </c>
    </row>
    <row r="65" spans="1:13" x14ac:dyDescent="0.3">
      <c r="A65" s="1" t="s">
        <v>80</v>
      </c>
      <c r="B65" s="1">
        <v>56</v>
      </c>
      <c r="C65" s="1" t="s">
        <v>19</v>
      </c>
      <c r="D65" s="1">
        <v>113.3</v>
      </c>
      <c r="E65" s="1">
        <v>20.45</v>
      </c>
      <c r="F65" s="1">
        <v>2</v>
      </c>
      <c r="G65" s="1">
        <v>2</v>
      </c>
      <c r="H65" s="1">
        <v>2</v>
      </c>
      <c r="I65" s="1">
        <v>0.5</v>
      </c>
      <c r="J65" s="1" t="s">
        <v>27</v>
      </c>
      <c r="K65" s="1">
        <f>Table1[[#This Row],[Weight_kg]]/(Table1[[#This Row],[Height_cm]]/100)*2</f>
        <v>36.098852603706973</v>
      </c>
      <c r="L65" s="1" t="str" cm="1">
        <f t="array" ref="L65">_xlfn.IFS(Table1[[#This Row],[BMI]]&lt;18.5,"Under Weight",Table1[[#This Row],[BMI]]&lt;24.9,"Healthy Weight",Table1[[#This Row],[BMI]]&lt;29.9,"Overweight",Table1[[#This Row],[BMI]]&gt;=30,"Obesity")</f>
        <v>Obesity</v>
      </c>
      <c r="M65" s="1" t="str" cm="1">
        <f t="array" ref="M65">_xlfn.IFS(Table1[[#This Row],[Age_Months]]&lt;=36,"24-36 Months",Table1[[#This Row],[Age_Months]]&lt;=48,"37-48 Months",Table1[[#This Row],[Age_Months]]&gt;48,"Above 48 Months")</f>
        <v>Above 48 Months</v>
      </c>
    </row>
    <row r="66" spans="1:13" x14ac:dyDescent="0.3">
      <c r="A66" s="1" t="s">
        <v>81</v>
      </c>
      <c r="B66" s="1">
        <v>38</v>
      </c>
      <c r="C66" s="1" t="s">
        <v>19</v>
      </c>
      <c r="D66" s="1">
        <v>104.84</v>
      </c>
      <c r="E66" s="1">
        <v>19.829999999999998</v>
      </c>
      <c r="F66" s="1">
        <v>4</v>
      </c>
      <c r="G66" s="1">
        <v>0</v>
      </c>
      <c r="H66" s="1">
        <v>0</v>
      </c>
      <c r="I66" s="1">
        <v>0.8</v>
      </c>
      <c r="J66" s="1" t="s">
        <v>24</v>
      </c>
      <c r="K66" s="1">
        <f>Table1[[#This Row],[Weight_kg]]/(Table1[[#This Row],[Height_cm]]/100)*2</f>
        <v>37.829072872949254</v>
      </c>
      <c r="L66" s="1" t="str" cm="1">
        <f t="array" ref="L66">_xlfn.IFS(Table1[[#This Row],[BMI]]&lt;18.5,"Under Weight",Table1[[#This Row],[BMI]]&lt;24.9,"Healthy Weight",Table1[[#This Row],[BMI]]&lt;29.9,"Overweight",Table1[[#This Row],[BMI]]&gt;=30,"Obesity")</f>
        <v>Obesity</v>
      </c>
      <c r="M66" s="1" t="str" cm="1">
        <f t="array" ref="M66">_xlfn.IFS(Table1[[#This Row],[Age_Months]]&lt;=36,"24-36 Months",Table1[[#This Row],[Age_Months]]&lt;=48,"37-48 Months",Table1[[#This Row],[Age_Months]]&gt;48,"Above 48 Months")</f>
        <v>37-48 Months</v>
      </c>
    </row>
    <row r="67" spans="1:13" x14ac:dyDescent="0.3">
      <c r="A67" s="1" t="s">
        <v>82</v>
      </c>
      <c r="B67" s="1">
        <v>50</v>
      </c>
      <c r="C67" s="1" t="s">
        <v>11</v>
      </c>
      <c r="D67" s="1">
        <v>104.56</v>
      </c>
      <c r="E67" s="1">
        <v>21.62</v>
      </c>
      <c r="F67" s="1">
        <v>4</v>
      </c>
      <c r="G67" s="1">
        <v>1</v>
      </c>
      <c r="H67" s="1">
        <v>1</v>
      </c>
      <c r="I67" s="1">
        <v>2</v>
      </c>
      <c r="J67" s="1" t="s">
        <v>12</v>
      </c>
      <c r="K67" s="1">
        <f>Table1[[#This Row],[Weight_kg]]/(Table1[[#This Row],[Height_cm]]/100)*2</f>
        <v>41.354246365723029</v>
      </c>
      <c r="L67" s="1" t="str" cm="1">
        <f t="array" ref="L67">_xlfn.IFS(Table1[[#This Row],[BMI]]&lt;18.5,"Under Weight",Table1[[#This Row],[BMI]]&lt;24.9,"Healthy Weight",Table1[[#This Row],[BMI]]&lt;29.9,"Overweight",Table1[[#This Row],[BMI]]&gt;=30,"Obesity")</f>
        <v>Obesity</v>
      </c>
      <c r="M67" s="1" t="str" cm="1">
        <f t="array" ref="M67">_xlfn.IFS(Table1[[#This Row],[Age_Months]]&lt;=36,"24-36 Months",Table1[[#This Row],[Age_Months]]&lt;=48,"37-48 Months",Table1[[#This Row],[Age_Months]]&gt;48,"Above 48 Months")</f>
        <v>Above 48 Months</v>
      </c>
    </row>
    <row r="68" spans="1:13" x14ac:dyDescent="0.3">
      <c r="A68" s="1" t="s">
        <v>83</v>
      </c>
      <c r="B68" s="1">
        <v>27</v>
      </c>
      <c r="C68" s="1" t="s">
        <v>19</v>
      </c>
      <c r="D68" s="1">
        <v>97.32</v>
      </c>
      <c r="E68" s="1">
        <v>16.28</v>
      </c>
      <c r="F68" s="1">
        <v>2</v>
      </c>
      <c r="G68" s="1">
        <v>4</v>
      </c>
      <c r="H68" s="1">
        <v>0</v>
      </c>
      <c r="I68" s="1">
        <v>0.8</v>
      </c>
      <c r="J68" s="1" t="s">
        <v>12</v>
      </c>
      <c r="K68" s="1">
        <f>Table1[[#This Row],[Weight_kg]]/(Table1[[#This Row],[Height_cm]]/100)*2</f>
        <v>33.456637895602142</v>
      </c>
      <c r="L68" s="1" t="str" cm="1">
        <f t="array" ref="L68">_xlfn.IFS(Table1[[#This Row],[BMI]]&lt;18.5,"Under Weight",Table1[[#This Row],[BMI]]&lt;24.9,"Healthy Weight",Table1[[#This Row],[BMI]]&lt;29.9,"Overweight",Table1[[#This Row],[BMI]]&gt;=30,"Obesity")</f>
        <v>Obesity</v>
      </c>
      <c r="M68" s="1" t="str" cm="1">
        <f t="array" ref="M68">_xlfn.IFS(Table1[[#This Row],[Age_Months]]&lt;=36,"24-36 Months",Table1[[#This Row],[Age_Months]]&lt;=48,"37-48 Months",Table1[[#This Row],[Age_Months]]&gt;48,"Above 48 Months")</f>
        <v>24-36 Months</v>
      </c>
    </row>
    <row r="69" spans="1:13" x14ac:dyDescent="0.3">
      <c r="A69" s="1" t="s">
        <v>84</v>
      </c>
      <c r="B69" s="1">
        <v>32</v>
      </c>
      <c r="C69" s="1" t="s">
        <v>11</v>
      </c>
      <c r="D69" s="1">
        <v>103.58</v>
      </c>
      <c r="E69" s="1">
        <v>15.12</v>
      </c>
      <c r="F69" s="1">
        <v>4</v>
      </c>
      <c r="G69" s="1">
        <v>0</v>
      </c>
      <c r="H69" s="1">
        <v>2</v>
      </c>
      <c r="I69" s="1">
        <v>1.8</v>
      </c>
      <c r="J69" s="1" t="s">
        <v>20</v>
      </c>
      <c r="K69" s="1">
        <f>Table1[[#This Row],[Weight_kg]]/(Table1[[#This Row],[Height_cm]]/100)*2</f>
        <v>29.194825255840893</v>
      </c>
      <c r="L69" s="1" t="str" cm="1">
        <f t="array" ref="L69">_xlfn.IFS(Table1[[#This Row],[BMI]]&lt;18.5,"Under Weight",Table1[[#This Row],[BMI]]&lt;24.9,"Healthy Weight",Table1[[#This Row],[BMI]]&lt;29.9,"Overweight",Table1[[#This Row],[BMI]]&gt;=30,"Obesity")</f>
        <v>Overweight</v>
      </c>
      <c r="M69" s="1" t="str" cm="1">
        <f t="array" ref="M69">_xlfn.IFS(Table1[[#This Row],[Age_Months]]&lt;=36,"24-36 Months",Table1[[#This Row],[Age_Months]]&lt;=48,"37-48 Months",Table1[[#This Row],[Age_Months]]&gt;48,"Above 48 Months")</f>
        <v>24-36 Months</v>
      </c>
    </row>
    <row r="70" spans="1:13" x14ac:dyDescent="0.3">
      <c r="A70" s="1" t="s">
        <v>85</v>
      </c>
      <c r="B70" s="1">
        <v>53</v>
      </c>
      <c r="C70" s="1" t="s">
        <v>19</v>
      </c>
      <c r="D70" s="1">
        <v>105.92</v>
      </c>
      <c r="E70" s="1">
        <v>22.98</v>
      </c>
      <c r="F70" s="1">
        <v>2</v>
      </c>
      <c r="G70" s="1">
        <v>0</v>
      </c>
      <c r="H70" s="1">
        <v>0</v>
      </c>
      <c r="I70" s="1">
        <v>0.8</v>
      </c>
      <c r="J70" s="1" t="s">
        <v>27</v>
      </c>
      <c r="K70" s="1">
        <f>Table1[[#This Row],[Weight_kg]]/(Table1[[#This Row],[Height_cm]]/100)*2</f>
        <v>43.391238670694868</v>
      </c>
      <c r="L70" s="1" t="str" cm="1">
        <f t="array" ref="L70">_xlfn.IFS(Table1[[#This Row],[BMI]]&lt;18.5,"Under Weight",Table1[[#This Row],[BMI]]&lt;24.9,"Healthy Weight",Table1[[#This Row],[BMI]]&lt;29.9,"Overweight",Table1[[#This Row],[BMI]]&gt;=30,"Obesity")</f>
        <v>Obesity</v>
      </c>
      <c r="M70" s="1" t="str" cm="1">
        <f t="array" ref="M70">_xlfn.IFS(Table1[[#This Row],[Age_Months]]&lt;=36,"24-36 Months",Table1[[#This Row],[Age_Months]]&lt;=48,"37-48 Months",Table1[[#This Row],[Age_Months]]&gt;48,"Above 48 Months")</f>
        <v>Above 48 Months</v>
      </c>
    </row>
    <row r="71" spans="1:13" x14ac:dyDescent="0.3">
      <c r="A71" s="1" t="s">
        <v>86</v>
      </c>
      <c r="B71" s="1">
        <v>33</v>
      </c>
      <c r="C71" s="1" t="s">
        <v>19</v>
      </c>
      <c r="D71" s="1">
        <v>104.76</v>
      </c>
      <c r="E71" s="1">
        <v>13.89</v>
      </c>
      <c r="F71" s="1">
        <v>3</v>
      </c>
      <c r="G71" s="1">
        <v>4</v>
      </c>
      <c r="H71" s="1">
        <v>0</v>
      </c>
      <c r="I71" s="1">
        <v>0.5</v>
      </c>
      <c r="J71" s="1" t="s">
        <v>20</v>
      </c>
      <c r="K71" s="1">
        <f>Table1[[#This Row],[Weight_kg]]/(Table1[[#This Row],[Height_cm]]/100)*2</f>
        <v>26.51775486827033</v>
      </c>
      <c r="L71" s="1" t="str" cm="1">
        <f t="array" ref="L71">_xlfn.IFS(Table1[[#This Row],[BMI]]&lt;18.5,"Under Weight",Table1[[#This Row],[BMI]]&lt;24.9,"Healthy Weight",Table1[[#This Row],[BMI]]&lt;29.9,"Overweight",Table1[[#This Row],[BMI]]&gt;=30,"Obesity")</f>
        <v>Overweight</v>
      </c>
      <c r="M71" s="1" t="str" cm="1">
        <f t="array" ref="M71">_xlfn.IFS(Table1[[#This Row],[Age_Months]]&lt;=36,"24-36 Months",Table1[[#This Row],[Age_Months]]&lt;=48,"37-48 Months",Table1[[#This Row],[Age_Months]]&gt;48,"Above 48 Months")</f>
        <v>24-36 Months</v>
      </c>
    </row>
    <row r="72" spans="1:13" x14ac:dyDescent="0.3">
      <c r="A72" s="1" t="s">
        <v>87</v>
      </c>
      <c r="B72" s="1">
        <v>49</v>
      </c>
      <c r="C72" s="1" t="s">
        <v>19</v>
      </c>
      <c r="D72" s="1">
        <v>108.22</v>
      </c>
      <c r="E72" s="1">
        <v>19.55</v>
      </c>
      <c r="F72" s="1">
        <v>1</v>
      </c>
      <c r="G72" s="1">
        <v>1</v>
      </c>
      <c r="H72" s="1">
        <v>2</v>
      </c>
      <c r="I72" s="1">
        <v>1.6</v>
      </c>
      <c r="J72" s="1" t="s">
        <v>20</v>
      </c>
      <c r="K72" s="1">
        <f>Table1[[#This Row],[Weight_kg]]/(Table1[[#This Row],[Height_cm]]/100)*2</f>
        <v>36.130105340972094</v>
      </c>
      <c r="L72" s="1" t="str" cm="1">
        <f t="array" ref="L72">_xlfn.IFS(Table1[[#This Row],[BMI]]&lt;18.5,"Under Weight",Table1[[#This Row],[BMI]]&lt;24.9,"Healthy Weight",Table1[[#This Row],[BMI]]&lt;29.9,"Overweight",Table1[[#This Row],[BMI]]&gt;=30,"Obesity")</f>
        <v>Obesity</v>
      </c>
      <c r="M72" s="1" t="str" cm="1">
        <f t="array" ref="M72">_xlfn.IFS(Table1[[#This Row],[Age_Months]]&lt;=36,"24-36 Months",Table1[[#This Row],[Age_Months]]&lt;=48,"37-48 Months",Table1[[#This Row],[Age_Months]]&gt;48,"Above 48 Months")</f>
        <v>Above 48 Months</v>
      </c>
    </row>
    <row r="73" spans="1:13" x14ac:dyDescent="0.3">
      <c r="A73" s="1" t="s">
        <v>88</v>
      </c>
      <c r="B73" s="1">
        <v>32</v>
      </c>
      <c r="C73" s="1" t="s">
        <v>11</v>
      </c>
      <c r="D73" s="1">
        <v>97.69</v>
      </c>
      <c r="E73" s="1">
        <v>18.04</v>
      </c>
      <c r="F73" s="1">
        <v>3</v>
      </c>
      <c r="G73" s="1">
        <v>2</v>
      </c>
      <c r="H73" s="1">
        <v>2</v>
      </c>
      <c r="I73" s="1">
        <v>2.2000000000000002</v>
      </c>
      <c r="J73" s="1" t="s">
        <v>12</v>
      </c>
      <c r="K73" s="1">
        <f>Table1[[#This Row],[Weight_kg]]/(Table1[[#This Row],[Height_cm]]/100)*2</f>
        <v>36.933155901320504</v>
      </c>
      <c r="L73" s="1" t="str" cm="1">
        <f t="array" ref="L73">_xlfn.IFS(Table1[[#This Row],[BMI]]&lt;18.5,"Under Weight",Table1[[#This Row],[BMI]]&lt;24.9,"Healthy Weight",Table1[[#This Row],[BMI]]&lt;29.9,"Overweight",Table1[[#This Row],[BMI]]&gt;=30,"Obesity")</f>
        <v>Obesity</v>
      </c>
      <c r="M73" s="1" t="str" cm="1">
        <f t="array" ref="M73">_xlfn.IFS(Table1[[#This Row],[Age_Months]]&lt;=36,"24-36 Months",Table1[[#This Row],[Age_Months]]&lt;=48,"37-48 Months",Table1[[#This Row],[Age_Months]]&gt;48,"Above 48 Months")</f>
        <v>24-36 Months</v>
      </c>
    </row>
    <row r="74" spans="1:13" x14ac:dyDescent="0.3">
      <c r="A74" s="1" t="s">
        <v>89</v>
      </c>
      <c r="B74" s="1">
        <v>52</v>
      </c>
      <c r="C74" s="1" t="s">
        <v>11</v>
      </c>
      <c r="D74" s="1">
        <v>104.99</v>
      </c>
      <c r="E74" s="1">
        <v>22.77</v>
      </c>
      <c r="F74" s="1">
        <v>3</v>
      </c>
      <c r="G74" s="1">
        <v>2</v>
      </c>
      <c r="H74" s="1">
        <v>1</v>
      </c>
      <c r="I74" s="1">
        <v>1.1000000000000001</v>
      </c>
      <c r="J74" s="1" t="s">
        <v>14</v>
      </c>
      <c r="K74" s="1">
        <f>Table1[[#This Row],[Weight_kg]]/(Table1[[#This Row],[Height_cm]]/100)*2</f>
        <v>43.375559577102578</v>
      </c>
      <c r="L74" s="1" t="str" cm="1">
        <f t="array" ref="L74">_xlfn.IFS(Table1[[#This Row],[BMI]]&lt;18.5,"Under Weight",Table1[[#This Row],[BMI]]&lt;24.9,"Healthy Weight",Table1[[#This Row],[BMI]]&lt;29.9,"Overweight",Table1[[#This Row],[BMI]]&gt;=30,"Obesity")</f>
        <v>Obesity</v>
      </c>
      <c r="M74" s="1" t="str" cm="1">
        <f t="array" ref="M74">_xlfn.IFS(Table1[[#This Row],[Age_Months]]&lt;=36,"24-36 Months",Table1[[#This Row],[Age_Months]]&lt;=48,"37-48 Months",Table1[[#This Row],[Age_Months]]&gt;48,"Above 48 Months")</f>
        <v>Above 48 Months</v>
      </c>
    </row>
    <row r="75" spans="1:13" x14ac:dyDescent="0.3">
      <c r="A75" s="1" t="s">
        <v>90</v>
      </c>
      <c r="B75" s="1">
        <v>25</v>
      </c>
      <c r="C75" s="1" t="s">
        <v>19</v>
      </c>
      <c r="D75" s="1">
        <v>88.93</v>
      </c>
      <c r="E75" s="1">
        <v>15.5</v>
      </c>
      <c r="F75" s="1">
        <v>3</v>
      </c>
      <c r="G75" s="1">
        <v>0</v>
      </c>
      <c r="H75" s="1">
        <v>3</v>
      </c>
      <c r="I75" s="1">
        <v>3.8</v>
      </c>
      <c r="J75" s="1" t="s">
        <v>14</v>
      </c>
      <c r="K75" s="1">
        <f>Table1[[#This Row],[Weight_kg]]/(Table1[[#This Row],[Height_cm]]/100)*2</f>
        <v>34.858877769031821</v>
      </c>
      <c r="L75" s="1" t="str" cm="1">
        <f t="array" ref="L75">_xlfn.IFS(Table1[[#This Row],[BMI]]&lt;18.5,"Under Weight",Table1[[#This Row],[BMI]]&lt;24.9,"Healthy Weight",Table1[[#This Row],[BMI]]&lt;29.9,"Overweight",Table1[[#This Row],[BMI]]&gt;=30,"Obesity")</f>
        <v>Obesity</v>
      </c>
      <c r="M75" s="1" t="str" cm="1">
        <f t="array" ref="M75">_xlfn.IFS(Table1[[#This Row],[Age_Months]]&lt;=36,"24-36 Months",Table1[[#This Row],[Age_Months]]&lt;=48,"37-48 Months",Table1[[#This Row],[Age_Months]]&gt;48,"Above 48 Months")</f>
        <v>24-36 Months</v>
      </c>
    </row>
    <row r="76" spans="1:13" x14ac:dyDescent="0.3">
      <c r="A76" s="1" t="s">
        <v>91</v>
      </c>
      <c r="B76" s="1">
        <v>41</v>
      </c>
      <c r="C76" s="1" t="s">
        <v>11</v>
      </c>
      <c r="D76" s="1">
        <v>105.5</v>
      </c>
      <c r="E76" s="1">
        <v>20.18</v>
      </c>
      <c r="F76" s="1">
        <v>1</v>
      </c>
      <c r="G76" s="1">
        <v>4</v>
      </c>
      <c r="H76" s="1">
        <v>3</v>
      </c>
      <c r="I76" s="1">
        <v>1.9</v>
      </c>
      <c r="J76" s="1" t="s">
        <v>24</v>
      </c>
      <c r="K76" s="1">
        <f>Table1[[#This Row],[Weight_kg]]/(Table1[[#This Row],[Height_cm]]/100)*2</f>
        <v>38.255924170616119</v>
      </c>
      <c r="L76" s="1" t="str" cm="1">
        <f t="array" ref="L76">_xlfn.IFS(Table1[[#This Row],[BMI]]&lt;18.5,"Under Weight",Table1[[#This Row],[BMI]]&lt;24.9,"Healthy Weight",Table1[[#This Row],[BMI]]&lt;29.9,"Overweight",Table1[[#This Row],[BMI]]&gt;=30,"Obesity")</f>
        <v>Obesity</v>
      </c>
      <c r="M76" s="1" t="str" cm="1">
        <f t="array" ref="M76">_xlfn.IFS(Table1[[#This Row],[Age_Months]]&lt;=36,"24-36 Months",Table1[[#This Row],[Age_Months]]&lt;=48,"37-48 Months",Table1[[#This Row],[Age_Months]]&gt;48,"Above 48 Months")</f>
        <v>37-48 Months</v>
      </c>
    </row>
    <row r="77" spans="1:13" x14ac:dyDescent="0.3">
      <c r="A77" s="1" t="s">
        <v>92</v>
      </c>
      <c r="B77" s="1">
        <v>38</v>
      </c>
      <c r="C77" s="1" t="s">
        <v>19</v>
      </c>
      <c r="D77" s="1">
        <v>101.47</v>
      </c>
      <c r="E77" s="1">
        <v>15.96</v>
      </c>
      <c r="F77" s="1">
        <v>1</v>
      </c>
      <c r="G77" s="1">
        <v>1</v>
      </c>
      <c r="H77" s="1">
        <v>0</v>
      </c>
      <c r="I77" s="1">
        <v>0.8</v>
      </c>
      <c r="J77" s="1" t="s">
        <v>12</v>
      </c>
      <c r="K77" s="1">
        <f>Table1[[#This Row],[Weight_kg]]/(Table1[[#This Row],[Height_cm]]/100)*2</f>
        <v>31.457573667093726</v>
      </c>
      <c r="L77" s="1" t="str" cm="1">
        <f t="array" ref="L77">_xlfn.IFS(Table1[[#This Row],[BMI]]&lt;18.5,"Under Weight",Table1[[#This Row],[BMI]]&lt;24.9,"Healthy Weight",Table1[[#This Row],[BMI]]&lt;29.9,"Overweight",Table1[[#This Row],[BMI]]&gt;=30,"Obesity")</f>
        <v>Obesity</v>
      </c>
      <c r="M77" s="1" t="str" cm="1">
        <f t="array" ref="M77">_xlfn.IFS(Table1[[#This Row],[Age_Months]]&lt;=36,"24-36 Months",Table1[[#This Row],[Age_Months]]&lt;=48,"37-48 Months",Table1[[#This Row],[Age_Months]]&gt;48,"Above 48 Months")</f>
        <v>37-48 Months</v>
      </c>
    </row>
    <row r="78" spans="1:13" x14ac:dyDescent="0.3">
      <c r="A78" s="1" t="s">
        <v>93</v>
      </c>
      <c r="B78" s="1">
        <v>46</v>
      </c>
      <c r="C78" s="1" t="s">
        <v>19</v>
      </c>
      <c r="D78" s="1">
        <v>103.84</v>
      </c>
      <c r="E78" s="1">
        <v>17.13</v>
      </c>
      <c r="F78" s="1">
        <v>0</v>
      </c>
      <c r="G78" s="1">
        <v>4</v>
      </c>
      <c r="H78" s="1">
        <v>1</v>
      </c>
      <c r="I78" s="1">
        <v>0.7</v>
      </c>
      <c r="J78" s="1" t="s">
        <v>20</v>
      </c>
      <c r="K78" s="1">
        <f>Table1[[#This Row],[Weight_kg]]/(Table1[[#This Row],[Height_cm]]/100)*2</f>
        <v>32.993066255778118</v>
      </c>
      <c r="L78" s="1" t="str" cm="1">
        <f t="array" ref="L78">_xlfn.IFS(Table1[[#This Row],[BMI]]&lt;18.5,"Under Weight",Table1[[#This Row],[BMI]]&lt;24.9,"Healthy Weight",Table1[[#This Row],[BMI]]&lt;29.9,"Overweight",Table1[[#This Row],[BMI]]&gt;=30,"Obesity")</f>
        <v>Obesity</v>
      </c>
      <c r="M78" s="1" t="str" cm="1">
        <f t="array" ref="M78">_xlfn.IFS(Table1[[#This Row],[Age_Months]]&lt;=36,"24-36 Months",Table1[[#This Row],[Age_Months]]&lt;=48,"37-48 Months",Table1[[#This Row],[Age_Months]]&gt;48,"Above 48 Months")</f>
        <v>37-48 Months</v>
      </c>
    </row>
    <row r="79" spans="1:13" x14ac:dyDescent="0.3">
      <c r="A79" s="1" t="s">
        <v>94</v>
      </c>
      <c r="B79" s="1">
        <v>45</v>
      </c>
      <c r="C79" s="1" t="s">
        <v>19</v>
      </c>
      <c r="D79" s="1">
        <v>103.74</v>
      </c>
      <c r="E79" s="1">
        <v>18.21</v>
      </c>
      <c r="F79" s="1">
        <v>1</v>
      </c>
      <c r="G79" s="1">
        <v>3</v>
      </c>
      <c r="H79" s="1">
        <v>0</v>
      </c>
      <c r="I79" s="1">
        <v>0.5</v>
      </c>
      <c r="J79" s="1" t="s">
        <v>20</v>
      </c>
      <c r="K79" s="1">
        <f>Table1[[#This Row],[Weight_kg]]/(Table1[[#This Row],[Height_cm]]/100)*2</f>
        <v>35.106998264893008</v>
      </c>
      <c r="L79" s="1" t="str" cm="1">
        <f t="array" ref="L79">_xlfn.IFS(Table1[[#This Row],[BMI]]&lt;18.5,"Under Weight",Table1[[#This Row],[BMI]]&lt;24.9,"Healthy Weight",Table1[[#This Row],[BMI]]&lt;29.9,"Overweight",Table1[[#This Row],[BMI]]&gt;=30,"Obesity")</f>
        <v>Obesity</v>
      </c>
      <c r="M79" s="1" t="str" cm="1">
        <f t="array" ref="M79">_xlfn.IFS(Table1[[#This Row],[Age_Months]]&lt;=36,"24-36 Months",Table1[[#This Row],[Age_Months]]&lt;=48,"37-48 Months",Table1[[#This Row],[Age_Months]]&gt;48,"Above 48 Months")</f>
        <v>37-48 Months</v>
      </c>
    </row>
    <row r="80" spans="1:13" x14ac:dyDescent="0.3">
      <c r="A80" s="1" t="s">
        <v>95</v>
      </c>
      <c r="B80" s="1">
        <v>48</v>
      </c>
      <c r="C80" s="1" t="s">
        <v>19</v>
      </c>
      <c r="D80" s="1">
        <v>101.32</v>
      </c>
      <c r="E80" s="1">
        <v>21.93</v>
      </c>
      <c r="F80" s="1">
        <v>4</v>
      </c>
      <c r="G80" s="1">
        <v>2</v>
      </c>
      <c r="H80" s="1">
        <v>2</v>
      </c>
      <c r="I80" s="1">
        <v>2.8</v>
      </c>
      <c r="J80" s="1" t="s">
        <v>14</v>
      </c>
      <c r="K80" s="1">
        <f>Table1[[#This Row],[Weight_kg]]/(Table1[[#This Row],[Height_cm]]/100)*2</f>
        <v>43.288590604026851</v>
      </c>
      <c r="L80" s="1" t="str" cm="1">
        <f t="array" ref="L80">_xlfn.IFS(Table1[[#This Row],[BMI]]&lt;18.5,"Under Weight",Table1[[#This Row],[BMI]]&lt;24.9,"Healthy Weight",Table1[[#This Row],[BMI]]&lt;29.9,"Overweight",Table1[[#This Row],[BMI]]&gt;=30,"Obesity")</f>
        <v>Obesity</v>
      </c>
      <c r="M80" s="1" t="str" cm="1">
        <f t="array" ref="M80">_xlfn.IFS(Table1[[#This Row],[Age_Months]]&lt;=36,"24-36 Months",Table1[[#This Row],[Age_Months]]&lt;=48,"37-48 Months",Table1[[#This Row],[Age_Months]]&gt;48,"Above 48 Months")</f>
        <v>37-48 Months</v>
      </c>
    </row>
    <row r="81" spans="1:13" x14ac:dyDescent="0.3">
      <c r="A81" s="1" t="s">
        <v>96</v>
      </c>
      <c r="B81" s="1">
        <v>54</v>
      </c>
      <c r="C81" s="1" t="s">
        <v>11</v>
      </c>
      <c r="D81" s="1">
        <v>109.83</v>
      </c>
      <c r="E81" s="1">
        <v>21.35</v>
      </c>
      <c r="F81" s="1">
        <v>3</v>
      </c>
      <c r="G81" s="1">
        <v>2</v>
      </c>
      <c r="H81" s="1">
        <v>1</v>
      </c>
      <c r="I81" s="1">
        <v>0.7</v>
      </c>
      <c r="J81" s="1" t="s">
        <v>24</v>
      </c>
      <c r="K81" s="1">
        <f>Table1[[#This Row],[Weight_kg]]/(Table1[[#This Row],[Height_cm]]/100)*2</f>
        <v>38.878266411727218</v>
      </c>
      <c r="L81" s="1" t="str" cm="1">
        <f t="array" ref="L81">_xlfn.IFS(Table1[[#This Row],[BMI]]&lt;18.5,"Under Weight",Table1[[#This Row],[BMI]]&lt;24.9,"Healthy Weight",Table1[[#This Row],[BMI]]&lt;29.9,"Overweight",Table1[[#This Row],[BMI]]&gt;=30,"Obesity")</f>
        <v>Obesity</v>
      </c>
      <c r="M81" s="1" t="str" cm="1">
        <f t="array" ref="M81">_xlfn.IFS(Table1[[#This Row],[Age_Months]]&lt;=36,"24-36 Months",Table1[[#This Row],[Age_Months]]&lt;=48,"37-48 Months",Table1[[#This Row],[Age_Months]]&gt;48,"Above 48 Months")</f>
        <v>Above 48 Months</v>
      </c>
    </row>
    <row r="82" spans="1:13" x14ac:dyDescent="0.3">
      <c r="A82" s="1" t="s">
        <v>97</v>
      </c>
      <c r="B82" s="1">
        <v>49</v>
      </c>
      <c r="C82" s="1" t="s">
        <v>19</v>
      </c>
      <c r="D82" s="1">
        <v>112.98</v>
      </c>
      <c r="E82" s="1">
        <v>18.22</v>
      </c>
      <c r="F82" s="1">
        <v>3</v>
      </c>
      <c r="G82" s="1">
        <v>1</v>
      </c>
      <c r="H82" s="1">
        <v>1</v>
      </c>
      <c r="I82" s="1">
        <v>1.7</v>
      </c>
      <c r="J82" s="1" t="s">
        <v>12</v>
      </c>
      <c r="K82" s="1">
        <f>Table1[[#This Row],[Weight_kg]]/(Table1[[#This Row],[Height_cm]]/100)*2</f>
        <v>32.253496194016634</v>
      </c>
      <c r="L82" s="1" t="str" cm="1">
        <f t="array" ref="L82">_xlfn.IFS(Table1[[#This Row],[BMI]]&lt;18.5,"Under Weight",Table1[[#This Row],[BMI]]&lt;24.9,"Healthy Weight",Table1[[#This Row],[BMI]]&lt;29.9,"Overweight",Table1[[#This Row],[BMI]]&gt;=30,"Obesity")</f>
        <v>Obesity</v>
      </c>
      <c r="M82" s="1" t="str" cm="1">
        <f t="array" ref="M82">_xlfn.IFS(Table1[[#This Row],[Age_Months]]&lt;=36,"24-36 Months",Table1[[#This Row],[Age_Months]]&lt;=48,"37-48 Months",Table1[[#This Row],[Age_Months]]&gt;48,"Above 48 Months")</f>
        <v>Above 48 Months</v>
      </c>
    </row>
    <row r="83" spans="1:13" x14ac:dyDescent="0.3">
      <c r="A83" s="1" t="s">
        <v>98</v>
      </c>
      <c r="B83" s="1">
        <v>45</v>
      </c>
      <c r="C83" s="1" t="s">
        <v>11</v>
      </c>
      <c r="D83" s="1">
        <v>104.87</v>
      </c>
      <c r="E83" s="1">
        <v>19.66</v>
      </c>
      <c r="F83" s="1">
        <v>1</v>
      </c>
      <c r="G83" s="1">
        <v>4</v>
      </c>
      <c r="H83" s="1">
        <v>2</v>
      </c>
      <c r="I83" s="1">
        <v>1.1000000000000001</v>
      </c>
      <c r="J83" s="1" t="s">
        <v>27</v>
      </c>
      <c r="K83" s="1">
        <f>Table1[[#This Row],[Weight_kg]]/(Table1[[#This Row],[Height_cm]]/100)*2</f>
        <v>37.494040240297515</v>
      </c>
      <c r="L83" s="1" t="str" cm="1">
        <f t="array" ref="L83">_xlfn.IFS(Table1[[#This Row],[BMI]]&lt;18.5,"Under Weight",Table1[[#This Row],[BMI]]&lt;24.9,"Healthy Weight",Table1[[#This Row],[BMI]]&lt;29.9,"Overweight",Table1[[#This Row],[BMI]]&gt;=30,"Obesity")</f>
        <v>Obesity</v>
      </c>
      <c r="M83" s="1" t="str" cm="1">
        <f t="array" ref="M83">_xlfn.IFS(Table1[[#This Row],[Age_Months]]&lt;=36,"24-36 Months",Table1[[#This Row],[Age_Months]]&lt;=48,"37-48 Months",Table1[[#This Row],[Age_Months]]&gt;48,"Above 48 Months")</f>
        <v>37-48 Months</v>
      </c>
    </row>
    <row r="84" spans="1:13" x14ac:dyDescent="0.3">
      <c r="A84" s="1" t="s">
        <v>99</v>
      </c>
      <c r="B84" s="1">
        <v>30</v>
      </c>
      <c r="C84" s="1" t="s">
        <v>19</v>
      </c>
      <c r="D84" s="1">
        <v>100.81</v>
      </c>
      <c r="E84" s="1">
        <v>14.39</v>
      </c>
      <c r="F84" s="1">
        <v>2</v>
      </c>
      <c r="G84" s="1">
        <v>4</v>
      </c>
      <c r="H84" s="1">
        <v>2</v>
      </c>
      <c r="I84" s="1">
        <v>2.6</v>
      </c>
      <c r="J84" s="1" t="s">
        <v>12</v>
      </c>
      <c r="K84" s="1">
        <f>Table1[[#This Row],[Weight_kg]]/(Table1[[#This Row],[Height_cm]]/100)*2</f>
        <v>28.54875508382105</v>
      </c>
      <c r="L84" s="1" t="str" cm="1">
        <f t="array" ref="L84">_xlfn.IFS(Table1[[#This Row],[BMI]]&lt;18.5,"Under Weight",Table1[[#This Row],[BMI]]&lt;24.9,"Healthy Weight",Table1[[#This Row],[BMI]]&lt;29.9,"Overweight",Table1[[#This Row],[BMI]]&gt;=30,"Obesity")</f>
        <v>Overweight</v>
      </c>
      <c r="M84" s="1" t="str" cm="1">
        <f t="array" ref="M84">_xlfn.IFS(Table1[[#This Row],[Age_Months]]&lt;=36,"24-36 Months",Table1[[#This Row],[Age_Months]]&lt;=48,"37-48 Months",Table1[[#This Row],[Age_Months]]&gt;48,"Above 48 Months")</f>
        <v>24-36 Months</v>
      </c>
    </row>
    <row r="85" spans="1:13" x14ac:dyDescent="0.3">
      <c r="A85" s="1" t="s">
        <v>100</v>
      </c>
      <c r="B85" s="1">
        <v>29</v>
      </c>
      <c r="C85" s="1" t="s">
        <v>11</v>
      </c>
      <c r="D85" s="1">
        <v>101.16</v>
      </c>
      <c r="E85" s="1">
        <v>14.14</v>
      </c>
      <c r="F85" s="1">
        <v>2</v>
      </c>
      <c r="G85" s="1">
        <v>2</v>
      </c>
      <c r="H85" s="1">
        <v>3</v>
      </c>
      <c r="I85" s="1">
        <v>1.3</v>
      </c>
      <c r="J85" s="1" t="s">
        <v>12</v>
      </c>
      <c r="K85" s="1">
        <f>Table1[[#This Row],[Weight_kg]]/(Table1[[#This Row],[Height_cm]]/100)*2</f>
        <v>27.955713720838276</v>
      </c>
      <c r="L85" s="1" t="str" cm="1">
        <f t="array" ref="L85">_xlfn.IFS(Table1[[#This Row],[BMI]]&lt;18.5,"Under Weight",Table1[[#This Row],[BMI]]&lt;24.9,"Healthy Weight",Table1[[#This Row],[BMI]]&lt;29.9,"Overweight",Table1[[#This Row],[BMI]]&gt;=30,"Obesity")</f>
        <v>Overweight</v>
      </c>
      <c r="M85" s="1" t="str" cm="1">
        <f t="array" ref="M85">_xlfn.IFS(Table1[[#This Row],[Age_Months]]&lt;=36,"24-36 Months",Table1[[#This Row],[Age_Months]]&lt;=48,"37-48 Months",Table1[[#This Row],[Age_Months]]&gt;48,"Above 48 Months")</f>
        <v>24-36 Months</v>
      </c>
    </row>
    <row r="86" spans="1:13" x14ac:dyDescent="0.3">
      <c r="A86" s="1" t="s">
        <v>101</v>
      </c>
      <c r="B86" s="1">
        <v>57</v>
      </c>
      <c r="C86" s="1" t="s">
        <v>11</v>
      </c>
      <c r="D86" s="1">
        <v>115.19</v>
      </c>
      <c r="E86" s="1">
        <v>20.76</v>
      </c>
      <c r="F86" s="1">
        <v>1</v>
      </c>
      <c r="G86" s="1">
        <v>4</v>
      </c>
      <c r="H86" s="1">
        <v>0</v>
      </c>
      <c r="I86" s="1">
        <v>1</v>
      </c>
      <c r="J86" s="1" t="s">
        <v>12</v>
      </c>
      <c r="K86" s="1">
        <f>Table1[[#This Row],[Weight_kg]]/(Table1[[#This Row],[Height_cm]]/100)*2</f>
        <v>36.044795555169728</v>
      </c>
      <c r="L86" s="1" t="str" cm="1">
        <f t="array" ref="L86">_xlfn.IFS(Table1[[#This Row],[BMI]]&lt;18.5,"Under Weight",Table1[[#This Row],[BMI]]&lt;24.9,"Healthy Weight",Table1[[#This Row],[BMI]]&lt;29.9,"Overweight",Table1[[#This Row],[BMI]]&gt;=30,"Obesity")</f>
        <v>Obesity</v>
      </c>
      <c r="M86" s="1" t="str" cm="1">
        <f t="array" ref="M86">_xlfn.IFS(Table1[[#This Row],[Age_Months]]&lt;=36,"24-36 Months",Table1[[#This Row],[Age_Months]]&lt;=48,"37-48 Months",Table1[[#This Row],[Age_Months]]&gt;48,"Above 48 Months")</f>
        <v>Above 48 Months</v>
      </c>
    </row>
    <row r="87" spans="1:13" x14ac:dyDescent="0.3">
      <c r="A87" s="1" t="s">
        <v>102</v>
      </c>
      <c r="B87" s="1">
        <v>56</v>
      </c>
      <c r="C87" s="1" t="s">
        <v>19</v>
      </c>
      <c r="D87" s="1">
        <v>110.72</v>
      </c>
      <c r="E87" s="1">
        <v>20.149999999999999</v>
      </c>
      <c r="F87" s="1">
        <v>0</v>
      </c>
      <c r="G87" s="1">
        <v>1</v>
      </c>
      <c r="H87" s="1">
        <v>1</v>
      </c>
      <c r="I87" s="1">
        <v>2</v>
      </c>
      <c r="J87" s="1" t="s">
        <v>27</v>
      </c>
      <c r="K87" s="1">
        <f>Table1[[#This Row],[Weight_kg]]/(Table1[[#This Row],[Height_cm]]/100)*2</f>
        <v>36.398121387283233</v>
      </c>
      <c r="L87" s="1" t="str" cm="1">
        <f t="array" ref="L87">_xlfn.IFS(Table1[[#This Row],[BMI]]&lt;18.5,"Under Weight",Table1[[#This Row],[BMI]]&lt;24.9,"Healthy Weight",Table1[[#This Row],[BMI]]&lt;29.9,"Overweight",Table1[[#This Row],[BMI]]&gt;=30,"Obesity")</f>
        <v>Obesity</v>
      </c>
      <c r="M87" s="1" t="str" cm="1">
        <f t="array" ref="M87">_xlfn.IFS(Table1[[#This Row],[Age_Months]]&lt;=36,"24-36 Months",Table1[[#This Row],[Age_Months]]&lt;=48,"37-48 Months",Table1[[#This Row],[Age_Months]]&gt;48,"Above 48 Months")</f>
        <v>Above 48 Months</v>
      </c>
    </row>
    <row r="88" spans="1:13" x14ac:dyDescent="0.3">
      <c r="A88" s="1" t="s">
        <v>103</v>
      </c>
      <c r="B88" s="1">
        <v>56</v>
      </c>
      <c r="C88" s="1" t="s">
        <v>11</v>
      </c>
      <c r="D88" s="1">
        <v>106.73</v>
      </c>
      <c r="E88" s="1">
        <v>24.09</v>
      </c>
      <c r="F88" s="1">
        <v>0</v>
      </c>
      <c r="G88" s="1">
        <v>1</v>
      </c>
      <c r="H88" s="1">
        <v>3</v>
      </c>
      <c r="I88" s="1">
        <v>1.7</v>
      </c>
      <c r="J88" s="1" t="s">
        <v>27</v>
      </c>
      <c r="K88" s="1">
        <f>Table1[[#This Row],[Weight_kg]]/(Table1[[#This Row],[Height_cm]]/100)*2</f>
        <v>45.141946968987156</v>
      </c>
      <c r="L88" s="1" t="str" cm="1">
        <f t="array" ref="L88">_xlfn.IFS(Table1[[#This Row],[BMI]]&lt;18.5,"Under Weight",Table1[[#This Row],[BMI]]&lt;24.9,"Healthy Weight",Table1[[#This Row],[BMI]]&lt;29.9,"Overweight",Table1[[#This Row],[BMI]]&gt;=30,"Obesity")</f>
        <v>Obesity</v>
      </c>
      <c r="M88" s="1" t="str" cm="1">
        <f t="array" ref="M88">_xlfn.IFS(Table1[[#This Row],[Age_Months]]&lt;=36,"24-36 Months",Table1[[#This Row],[Age_Months]]&lt;=48,"37-48 Months",Table1[[#This Row],[Age_Months]]&gt;48,"Above 48 Months")</f>
        <v>Above 48 Months</v>
      </c>
    </row>
    <row r="89" spans="1:13" x14ac:dyDescent="0.3">
      <c r="A89" s="1" t="s">
        <v>104</v>
      </c>
      <c r="B89" s="1">
        <v>25</v>
      </c>
      <c r="C89" s="1" t="s">
        <v>11</v>
      </c>
      <c r="D89" s="1">
        <v>99.72</v>
      </c>
      <c r="E89" s="1">
        <v>14.9</v>
      </c>
      <c r="F89" s="1">
        <v>4</v>
      </c>
      <c r="G89" s="1">
        <v>2</v>
      </c>
      <c r="H89" s="1">
        <v>3</v>
      </c>
      <c r="I89" s="1">
        <v>2.2000000000000002</v>
      </c>
      <c r="J89" s="1" t="s">
        <v>14</v>
      </c>
      <c r="K89" s="1">
        <f>Table1[[#This Row],[Weight_kg]]/(Table1[[#This Row],[Height_cm]]/100)*2</f>
        <v>29.883674288006418</v>
      </c>
      <c r="L89" s="1" t="str" cm="1">
        <f t="array" ref="L89">_xlfn.IFS(Table1[[#This Row],[BMI]]&lt;18.5,"Under Weight",Table1[[#This Row],[BMI]]&lt;24.9,"Healthy Weight",Table1[[#This Row],[BMI]]&lt;29.9,"Overweight",Table1[[#This Row],[BMI]]&gt;=30,"Obesity")</f>
        <v>Overweight</v>
      </c>
      <c r="M89" s="1" t="str" cm="1">
        <f t="array" ref="M89">_xlfn.IFS(Table1[[#This Row],[Age_Months]]&lt;=36,"24-36 Months",Table1[[#This Row],[Age_Months]]&lt;=48,"37-48 Months",Table1[[#This Row],[Age_Months]]&gt;48,"Above 48 Months")</f>
        <v>24-36 Months</v>
      </c>
    </row>
    <row r="90" spans="1:13" x14ac:dyDescent="0.3">
      <c r="A90" s="1" t="s">
        <v>105</v>
      </c>
      <c r="B90" s="1">
        <v>30</v>
      </c>
      <c r="C90" s="1" t="s">
        <v>11</v>
      </c>
      <c r="D90" s="1">
        <v>96.45</v>
      </c>
      <c r="E90" s="1">
        <v>14.77</v>
      </c>
      <c r="F90" s="1">
        <v>4</v>
      </c>
      <c r="G90" s="1">
        <v>2</v>
      </c>
      <c r="H90" s="1">
        <v>0</v>
      </c>
      <c r="I90" s="1">
        <v>0.6</v>
      </c>
      <c r="J90" s="1" t="s">
        <v>24</v>
      </c>
      <c r="K90" s="1">
        <f>Table1[[#This Row],[Weight_kg]]/(Table1[[#This Row],[Height_cm]]/100)*2</f>
        <v>30.627268014515291</v>
      </c>
      <c r="L90" s="1" t="str" cm="1">
        <f t="array" ref="L90">_xlfn.IFS(Table1[[#This Row],[BMI]]&lt;18.5,"Under Weight",Table1[[#This Row],[BMI]]&lt;24.9,"Healthy Weight",Table1[[#This Row],[BMI]]&lt;29.9,"Overweight",Table1[[#This Row],[BMI]]&gt;=30,"Obesity")</f>
        <v>Obesity</v>
      </c>
      <c r="M90" s="1" t="str" cm="1">
        <f t="array" ref="M90">_xlfn.IFS(Table1[[#This Row],[Age_Months]]&lt;=36,"24-36 Months",Table1[[#This Row],[Age_Months]]&lt;=48,"37-48 Months",Table1[[#This Row],[Age_Months]]&gt;48,"Above 48 Months")</f>
        <v>24-36 Months</v>
      </c>
    </row>
    <row r="91" spans="1:13" x14ac:dyDescent="0.3">
      <c r="A91" s="1" t="s">
        <v>106</v>
      </c>
      <c r="B91" s="1">
        <v>53</v>
      </c>
      <c r="C91" s="1" t="s">
        <v>19</v>
      </c>
      <c r="D91" s="1">
        <v>106.44</v>
      </c>
      <c r="E91" s="1">
        <v>20.73</v>
      </c>
      <c r="F91" s="1">
        <v>4</v>
      </c>
      <c r="G91" s="1">
        <v>3</v>
      </c>
      <c r="H91" s="1">
        <v>2</v>
      </c>
      <c r="I91" s="1">
        <v>2</v>
      </c>
      <c r="J91" s="1" t="s">
        <v>12</v>
      </c>
      <c r="K91" s="1">
        <f>Table1[[#This Row],[Weight_kg]]/(Table1[[#This Row],[Height_cm]]/100)*2</f>
        <v>38.951521984216463</v>
      </c>
      <c r="L91" s="1" t="str" cm="1">
        <f t="array" ref="L91">_xlfn.IFS(Table1[[#This Row],[BMI]]&lt;18.5,"Under Weight",Table1[[#This Row],[BMI]]&lt;24.9,"Healthy Weight",Table1[[#This Row],[BMI]]&lt;29.9,"Overweight",Table1[[#This Row],[BMI]]&gt;=30,"Obesity")</f>
        <v>Obesity</v>
      </c>
      <c r="M91" s="1" t="str" cm="1">
        <f t="array" ref="M91">_xlfn.IFS(Table1[[#This Row],[Age_Months]]&lt;=36,"24-36 Months",Table1[[#This Row],[Age_Months]]&lt;=48,"37-48 Months",Table1[[#This Row],[Age_Months]]&gt;48,"Above 48 Months")</f>
        <v>Above 48 Months</v>
      </c>
    </row>
    <row r="92" spans="1:13" x14ac:dyDescent="0.3">
      <c r="A92" s="1" t="s">
        <v>107</v>
      </c>
      <c r="B92" s="1">
        <v>29</v>
      </c>
      <c r="C92" s="1" t="s">
        <v>11</v>
      </c>
      <c r="D92" s="1">
        <v>97.77</v>
      </c>
      <c r="E92" s="1">
        <v>15.72</v>
      </c>
      <c r="F92" s="1">
        <v>2</v>
      </c>
      <c r="G92" s="1">
        <v>0</v>
      </c>
      <c r="H92" s="1">
        <v>0</v>
      </c>
      <c r="I92" s="1">
        <v>0.9</v>
      </c>
      <c r="J92" s="1" t="s">
        <v>12</v>
      </c>
      <c r="K92" s="1">
        <f>Table1[[#This Row],[Weight_kg]]/(Table1[[#This Row],[Height_cm]]/100)*2</f>
        <v>32.157103405952746</v>
      </c>
      <c r="L92" s="1" t="str" cm="1">
        <f t="array" ref="L92">_xlfn.IFS(Table1[[#This Row],[BMI]]&lt;18.5,"Under Weight",Table1[[#This Row],[BMI]]&lt;24.9,"Healthy Weight",Table1[[#This Row],[BMI]]&lt;29.9,"Overweight",Table1[[#This Row],[BMI]]&gt;=30,"Obesity")</f>
        <v>Obesity</v>
      </c>
      <c r="M92" s="1" t="str" cm="1">
        <f t="array" ref="M92">_xlfn.IFS(Table1[[#This Row],[Age_Months]]&lt;=36,"24-36 Months",Table1[[#This Row],[Age_Months]]&lt;=48,"37-48 Months",Table1[[#This Row],[Age_Months]]&gt;48,"Above 48 Months")</f>
        <v>24-36 Months</v>
      </c>
    </row>
    <row r="93" spans="1:13" x14ac:dyDescent="0.3">
      <c r="A93" s="1" t="s">
        <v>108</v>
      </c>
      <c r="B93" s="1">
        <v>58</v>
      </c>
      <c r="C93" s="1" t="s">
        <v>19</v>
      </c>
      <c r="D93" s="1">
        <v>113.49</v>
      </c>
      <c r="E93" s="1">
        <v>25.26</v>
      </c>
      <c r="F93" s="1">
        <v>0</v>
      </c>
      <c r="G93" s="1">
        <v>4</v>
      </c>
      <c r="H93" s="1">
        <v>3</v>
      </c>
      <c r="I93" s="1">
        <v>3</v>
      </c>
      <c r="J93" s="1" t="s">
        <v>27</v>
      </c>
      <c r="K93" s="1">
        <f>Table1[[#This Row],[Weight_kg]]/(Table1[[#This Row],[Height_cm]]/100)*2</f>
        <v>44.514935236584726</v>
      </c>
      <c r="L93" s="1" t="str" cm="1">
        <f t="array" ref="L93">_xlfn.IFS(Table1[[#This Row],[BMI]]&lt;18.5,"Under Weight",Table1[[#This Row],[BMI]]&lt;24.9,"Healthy Weight",Table1[[#This Row],[BMI]]&lt;29.9,"Overweight",Table1[[#This Row],[BMI]]&gt;=30,"Obesity")</f>
        <v>Obesity</v>
      </c>
      <c r="M93" s="1" t="str" cm="1">
        <f t="array" ref="M93">_xlfn.IFS(Table1[[#This Row],[Age_Months]]&lt;=36,"24-36 Months",Table1[[#This Row],[Age_Months]]&lt;=48,"37-48 Months",Table1[[#This Row],[Age_Months]]&gt;48,"Above 48 Months")</f>
        <v>Above 48 Months</v>
      </c>
    </row>
    <row r="94" spans="1:13" x14ac:dyDescent="0.3">
      <c r="A94" s="1" t="s">
        <v>109</v>
      </c>
      <c r="B94" s="1">
        <v>26</v>
      </c>
      <c r="C94" s="1" t="s">
        <v>19</v>
      </c>
      <c r="D94" s="1">
        <v>92.08</v>
      </c>
      <c r="E94" s="1">
        <v>15.29</v>
      </c>
      <c r="F94" s="1">
        <v>4</v>
      </c>
      <c r="G94" s="1">
        <v>1</v>
      </c>
      <c r="H94" s="1">
        <v>2</v>
      </c>
      <c r="I94" s="1">
        <v>2.6</v>
      </c>
      <c r="J94" s="1" t="s">
        <v>20</v>
      </c>
      <c r="K94" s="1">
        <f>Table1[[#This Row],[Weight_kg]]/(Table1[[#This Row],[Height_cm]]/100)*2</f>
        <v>33.210251954821892</v>
      </c>
      <c r="L94" s="1" t="str" cm="1">
        <f t="array" ref="L94">_xlfn.IFS(Table1[[#This Row],[BMI]]&lt;18.5,"Under Weight",Table1[[#This Row],[BMI]]&lt;24.9,"Healthy Weight",Table1[[#This Row],[BMI]]&lt;29.9,"Overweight",Table1[[#This Row],[BMI]]&gt;=30,"Obesity")</f>
        <v>Obesity</v>
      </c>
      <c r="M94" s="1" t="str" cm="1">
        <f t="array" ref="M94">_xlfn.IFS(Table1[[#This Row],[Age_Months]]&lt;=36,"24-36 Months",Table1[[#This Row],[Age_Months]]&lt;=48,"37-48 Months",Table1[[#This Row],[Age_Months]]&gt;48,"Above 48 Months")</f>
        <v>24-36 Months</v>
      </c>
    </row>
    <row r="95" spans="1:13" x14ac:dyDescent="0.3">
      <c r="A95" s="1" t="s">
        <v>110</v>
      </c>
      <c r="B95" s="1">
        <v>25</v>
      </c>
      <c r="C95" s="1" t="s">
        <v>11</v>
      </c>
      <c r="D95" s="1">
        <v>96.42</v>
      </c>
      <c r="E95" s="1">
        <v>15.34</v>
      </c>
      <c r="F95" s="1">
        <v>4</v>
      </c>
      <c r="G95" s="1">
        <v>3</v>
      </c>
      <c r="H95" s="1">
        <v>2</v>
      </c>
      <c r="I95" s="1">
        <v>0.9</v>
      </c>
      <c r="J95" s="1" t="s">
        <v>20</v>
      </c>
      <c r="K95" s="1">
        <f>Table1[[#This Row],[Weight_kg]]/(Table1[[#This Row],[Height_cm]]/100)*2</f>
        <v>31.819124662933</v>
      </c>
      <c r="L95" s="1" t="str" cm="1">
        <f t="array" ref="L95">_xlfn.IFS(Table1[[#This Row],[BMI]]&lt;18.5,"Under Weight",Table1[[#This Row],[BMI]]&lt;24.9,"Healthy Weight",Table1[[#This Row],[BMI]]&lt;29.9,"Overweight",Table1[[#This Row],[BMI]]&gt;=30,"Obesity")</f>
        <v>Obesity</v>
      </c>
      <c r="M95" s="1" t="str" cm="1">
        <f t="array" ref="M95">_xlfn.IFS(Table1[[#This Row],[Age_Months]]&lt;=36,"24-36 Months",Table1[[#This Row],[Age_Months]]&lt;=48,"37-48 Months",Table1[[#This Row],[Age_Months]]&gt;48,"Above 48 Months")</f>
        <v>24-36 Months</v>
      </c>
    </row>
    <row r="96" spans="1:13" x14ac:dyDescent="0.3">
      <c r="A96" s="1" t="s">
        <v>111</v>
      </c>
      <c r="B96" s="1">
        <v>59</v>
      </c>
      <c r="C96" s="1" t="s">
        <v>11</v>
      </c>
      <c r="D96" s="1">
        <v>108.1</v>
      </c>
      <c r="E96" s="1">
        <v>19.25</v>
      </c>
      <c r="F96" s="1">
        <v>1</v>
      </c>
      <c r="G96" s="1">
        <v>0</v>
      </c>
      <c r="H96" s="1">
        <v>1</v>
      </c>
      <c r="I96" s="1">
        <v>1</v>
      </c>
      <c r="J96" s="1" t="s">
        <v>12</v>
      </c>
      <c r="K96" s="1">
        <f>Table1[[#This Row],[Weight_kg]]/(Table1[[#This Row],[Height_cm]]/100)*2</f>
        <v>35.61517113783534</v>
      </c>
      <c r="L96" s="1" t="str" cm="1">
        <f t="array" ref="L96">_xlfn.IFS(Table1[[#This Row],[BMI]]&lt;18.5,"Under Weight",Table1[[#This Row],[BMI]]&lt;24.9,"Healthy Weight",Table1[[#This Row],[BMI]]&lt;29.9,"Overweight",Table1[[#This Row],[BMI]]&gt;=30,"Obesity")</f>
        <v>Obesity</v>
      </c>
      <c r="M96" s="1" t="str" cm="1">
        <f t="array" ref="M96">_xlfn.IFS(Table1[[#This Row],[Age_Months]]&lt;=36,"24-36 Months",Table1[[#This Row],[Age_Months]]&lt;=48,"37-48 Months",Table1[[#This Row],[Age_Months]]&gt;48,"Above 48 Months")</f>
        <v>Above 48 Months</v>
      </c>
    </row>
    <row r="97" spans="1:13" x14ac:dyDescent="0.3">
      <c r="A97" s="1" t="s">
        <v>112</v>
      </c>
      <c r="B97" s="1">
        <v>50</v>
      </c>
      <c r="C97" s="1" t="s">
        <v>11</v>
      </c>
      <c r="D97" s="1">
        <v>109.15</v>
      </c>
      <c r="E97" s="1">
        <v>22.09</v>
      </c>
      <c r="F97" s="1">
        <v>1</v>
      </c>
      <c r="G97" s="1">
        <v>4</v>
      </c>
      <c r="H97" s="1">
        <v>0</v>
      </c>
      <c r="I97" s="1">
        <v>0.6</v>
      </c>
      <c r="J97" s="1" t="s">
        <v>14</v>
      </c>
      <c r="K97" s="1">
        <f>Table1[[#This Row],[Weight_kg]]/(Table1[[#This Row],[Height_cm]]/100)*2</f>
        <v>40.476408612001826</v>
      </c>
      <c r="L97" s="1" t="str" cm="1">
        <f t="array" ref="L97">_xlfn.IFS(Table1[[#This Row],[BMI]]&lt;18.5,"Under Weight",Table1[[#This Row],[BMI]]&lt;24.9,"Healthy Weight",Table1[[#This Row],[BMI]]&lt;29.9,"Overweight",Table1[[#This Row],[BMI]]&gt;=30,"Obesity")</f>
        <v>Obesity</v>
      </c>
      <c r="M97" s="1" t="str" cm="1">
        <f t="array" ref="M97">_xlfn.IFS(Table1[[#This Row],[Age_Months]]&lt;=36,"24-36 Months",Table1[[#This Row],[Age_Months]]&lt;=48,"37-48 Months",Table1[[#This Row],[Age_Months]]&gt;48,"Above 48 Months")</f>
        <v>Above 48 Months</v>
      </c>
    </row>
    <row r="98" spans="1:13" x14ac:dyDescent="0.3">
      <c r="A98" s="1" t="s">
        <v>113</v>
      </c>
      <c r="B98" s="1">
        <v>48</v>
      </c>
      <c r="C98" s="1" t="s">
        <v>19</v>
      </c>
      <c r="D98" s="1">
        <v>107.71</v>
      </c>
      <c r="E98" s="1">
        <v>19.079999999999998</v>
      </c>
      <c r="F98" s="1">
        <v>0</v>
      </c>
      <c r="G98" s="1">
        <v>2</v>
      </c>
      <c r="H98" s="1">
        <v>2</v>
      </c>
      <c r="I98" s="1">
        <v>1.8</v>
      </c>
      <c r="J98" s="1" t="s">
        <v>20</v>
      </c>
      <c r="K98" s="1">
        <f>Table1[[#This Row],[Weight_kg]]/(Table1[[#This Row],[Height_cm]]/100)*2</f>
        <v>35.428465323553986</v>
      </c>
      <c r="L98" s="1" t="str" cm="1">
        <f t="array" ref="L98">_xlfn.IFS(Table1[[#This Row],[BMI]]&lt;18.5,"Under Weight",Table1[[#This Row],[BMI]]&lt;24.9,"Healthy Weight",Table1[[#This Row],[BMI]]&lt;29.9,"Overweight",Table1[[#This Row],[BMI]]&gt;=30,"Obesity")</f>
        <v>Obesity</v>
      </c>
      <c r="M98" s="1" t="str" cm="1">
        <f t="array" ref="M98">_xlfn.IFS(Table1[[#This Row],[Age_Months]]&lt;=36,"24-36 Months",Table1[[#This Row],[Age_Months]]&lt;=48,"37-48 Months",Table1[[#This Row],[Age_Months]]&gt;48,"Above 48 Months")</f>
        <v>37-48 Months</v>
      </c>
    </row>
    <row r="99" spans="1:13" x14ac:dyDescent="0.3">
      <c r="A99" s="1" t="s">
        <v>114</v>
      </c>
      <c r="B99" s="1">
        <v>57</v>
      </c>
      <c r="C99" s="1" t="s">
        <v>19</v>
      </c>
      <c r="D99" s="1">
        <v>112.41</v>
      </c>
      <c r="E99" s="1">
        <v>21.55</v>
      </c>
      <c r="F99" s="1">
        <v>2</v>
      </c>
      <c r="G99" s="1">
        <v>4</v>
      </c>
      <c r="H99" s="1">
        <v>0</v>
      </c>
      <c r="I99" s="1">
        <v>0.9</v>
      </c>
      <c r="J99" s="1" t="s">
        <v>12</v>
      </c>
      <c r="K99" s="1">
        <f>Table1[[#This Row],[Weight_kg]]/(Table1[[#This Row],[Height_cm]]/100)*2</f>
        <v>38.341784538742111</v>
      </c>
      <c r="L99" s="1" t="str" cm="1">
        <f t="array" ref="L99">_xlfn.IFS(Table1[[#This Row],[BMI]]&lt;18.5,"Under Weight",Table1[[#This Row],[BMI]]&lt;24.9,"Healthy Weight",Table1[[#This Row],[BMI]]&lt;29.9,"Overweight",Table1[[#This Row],[BMI]]&gt;=30,"Obesity")</f>
        <v>Obesity</v>
      </c>
      <c r="M99" s="1" t="str" cm="1">
        <f t="array" ref="M99">_xlfn.IFS(Table1[[#This Row],[Age_Months]]&lt;=36,"24-36 Months",Table1[[#This Row],[Age_Months]]&lt;=48,"37-48 Months",Table1[[#This Row],[Age_Months]]&gt;48,"Above 48 Months")</f>
        <v>Above 48 Months</v>
      </c>
    </row>
    <row r="100" spans="1:13" x14ac:dyDescent="0.3">
      <c r="A100" s="1" t="s">
        <v>115</v>
      </c>
      <c r="B100" s="1">
        <v>45</v>
      </c>
      <c r="C100" s="1" t="s">
        <v>19</v>
      </c>
      <c r="D100" s="1">
        <v>110.12</v>
      </c>
      <c r="E100" s="1">
        <v>18.510000000000002</v>
      </c>
      <c r="F100" s="1">
        <v>0</v>
      </c>
      <c r="G100" s="1">
        <v>2</v>
      </c>
      <c r="H100" s="1">
        <v>0</v>
      </c>
      <c r="I100" s="1">
        <v>0.9</v>
      </c>
      <c r="J100" s="1" t="s">
        <v>24</v>
      </c>
      <c r="K100" s="1">
        <f>Table1[[#This Row],[Weight_kg]]/(Table1[[#This Row],[Height_cm]]/100)*2</f>
        <v>33.617871413003996</v>
      </c>
      <c r="L100" s="1" t="str" cm="1">
        <f t="array" ref="L100">_xlfn.IFS(Table1[[#This Row],[BMI]]&lt;18.5,"Under Weight",Table1[[#This Row],[BMI]]&lt;24.9,"Healthy Weight",Table1[[#This Row],[BMI]]&lt;29.9,"Overweight",Table1[[#This Row],[BMI]]&gt;=30,"Obesity")</f>
        <v>Obesity</v>
      </c>
      <c r="M100" s="1" t="str" cm="1">
        <f t="array" ref="M100">_xlfn.IFS(Table1[[#This Row],[Age_Months]]&lt;=36,"24-36 Months",Table1[[#This Row],[Age_Months]]&lt;=48,"37-48 Months",Table1[[#This Row],[Age_Months]]&gt;48,"Above 48 Months")</f>
        <v>37-48 Months</v>
      </c>
    </row>
    <row r="101" spans="1:13" x14ac:dyDescent="0.3">
      <c r="A101" s="1" t="s">
        <v>116</v>
      </c>
      <c r="B101" s="1">
        <v>49</v>
      </c>
      <c r="C101" s="1" t="s">
        <v>19</v>
      </c>
      <c r="D101" s="1">
        <v>106.6</v>
      </c>
      <c r="E101" s="1">
        <v>21.21</v>
      </c>
      <c r="F101" s="1">
        <v>0</v>
      </c>
      <c r="G101" s="1">
        <v>0</v>
      </c>
      <c r="H101" s="1">
        <v>2</v>
      </c>
      <c r="I101" s="1">
        <v>2.5</v>
      </c>
      <c r="J101" s="1" t="s">
        <v>24</v>
      </c>
      <c r="K101" s="1">
        <f>Table1[[#This Row],[Weight_kg]]/(Table1[[#This Row],[Height_cm]]/100)*2</f>
        <v>39.793621013133219</v>
      </c>
      <c r="L101" s="1" t="str" cm="1">
        <f t="array" ref="L101">_xlfn.IFS(Table1[[#This Row],[BMI]]&lt;18.5,"Under Weight",Table1[[#This Row],[BMI]]&lt;24.9,"Healthy Weight",Table1[[#This Row],[BMI]]&lt;29.9,"Overweight",Table1[[#This Row],[BMI]]&gt;=30,"Obesity")</f>
        <v>Obesity</v>
      </c>
      <c r="M101" s="1" t="str" cm="1">
        <f t="array" ref="M101">_xlfn.IFS(Table1[[#This Row],[Age_Months]]&lt;=36,"24-36 Months",Table1[[#This Row],[Age_Months]]&lt;=48,"37-48 Months",Table1[[#This Row],[Age_Months]]&gt;48,"Above 48 Months")</f>
        <v>Above 48 Months</v>
      </c>
    </row>
  </sheetData>
  <dataValidations count="1">
    <dataValidation type="list" allowBlank="1" showInputMessage="1" showErrorMessage="1" sqref="J2:J101" xr:uid="{A839F04A-5FBC-4DA6-858A-3087F2A2182F}">
      <formula1>Region_List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8063-B2C1-41B8-8C70-14BE52304B32}">
  <dimension ref="A1:K67"/>
  <sheetViews>
    <sheetView workbookViewId="0">
      <selection sqref="A1:XFD1"/>
    </sheetView>
  </sheetViews>
  <sheetFormatPr defaultRowHeight="14.4" x14ac:dyDescent="0.3"/>
  <cols>
    <col min="1" max="16384" width="8.88671875" style="5"/>
  </cols>
  <sheetData>
    <row r="1" spans="1:11" ht="25.8" x14ac:dyDescent="0.5">
      <c r="A1" s="6" t="s">
        <v>118</v>
      </c>
      <c r="B1" s="6"/>
      <c r="C1" s="6"/>
      <c r="D1" s="6"/>
      <c r="E1" s="6"/>
      <c r="F1" s="6"/>
      <c r="G1" s="6"/>
      <c r="H1" s="6"/>
      <c r="I1" s="6"/>
      <c r="J1" s="6"/>
      <c r="K1" s="6"/>
    </row>
    <row r="3" spans="1:11" ht="21" x14ac:dyDescent="0.4">
      <c r="A3" s="7" t="s">
        <v>119</v>
      </c>
    </row>
    <row r="36" spans="1:1" ht="21" x14ac:dyDescent="0.4">
      <c r="A36" s="7" t="s">
        <v>120</v>
      </c>
    </row>
    <row r="67" spans="1:1" ht="21" x14ac:dyDescent="0.4">
      <c r="A67" s="7" t="s">
        <v>125</v>
      </c>
    </row>
  </sheetData>
  <mergeCells count="1">
    <mergeCell ref="A1:K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D638-7CEA-4D7E-9B88-E87E4B715788}">
  <dimension ref="A1:L90"/>
  <sheetViews>
    <sheetView workbookViewId="0">
      <selection sqref="A1:K1"/>
    </sheetView>
  </sheetViews>
  <sheetFormatPr defaultRowHeight="14.4" x14ac:dyDescent="0.3"/>
  <cols>
    <col min="1" max="7" width="8.88671875" style="5"/>
    <col min="8" max="8" width="16" style="5" bestFit="1" customWidth="1"/>
    <col min="9" max="9" width="17.88671875" style="5" bestFit="1" customWidth="1"/>
    <col min="10" max="10" width="6.33203125" style="5" bestFit="1" customWidth="1"/>
    <col min="11" max="11" width="10" style="5" bestFit="1" customWidth="1"/>
    <col min="12" max="12" width="10.77734375" style="5" bestFit="1" customWidth="1"/>
    <col min="13" max="16384" width="8.88671875" style="5"/>
  </cols>
  <sheetData>
    <row r="1" spans="1:12" ht="25.8" x14ac:dyDescent="0.5">
      <c r="A1" s="6" t="s">
        <v>122</v>
      </c>
      <c r="B1" s="6"/>
      <c r="C1" s="6"/>
      <c r="D1" s="6"/>
      <c r="E1" s="6"/>
      <c r="F1" s="6"/>
      <c r="G1" s="6"/>
      <c r="H1" s="6"/>
      <c r="I1" s="6"/>
      <c r="J1" s="6"/>
      <c r="K1" s="6"/>
    </row>
    <row r="3" spans="1:12" ht="21" customHeight="1" x14ac:dyDescent="0.3">
      <c r="A3" s="8" t="s">
        <v>123</v>
      </c>
      <c r="B3" s="8"/>
      <c r="C3" s="8"/>
      <c r="D3" s="8"/>
      <c r="E3" s="8"/>
      <c r="F3" s="8"/>
      <c r="G3" s="8"/>
      <c r="H3" s="8"/>
      <c r="I3" s="8"/>
      <c r="J3" s="8"/>
      <c r="K3" s="8"/>
      <c r="L3" s="8"/>
    </row>
    <row r="4" spans="1:12" x14ac:dyDescent="0.3">
      <c r="A4" s="8"/>
      <c r="B4" s="8"/>
      <c r="C4" s="8"/>
      <c r="D4" s="8"/>
      <c r="E4" s="8"/>
      <c r="F4" s="8"/>
      <c r="G4" s="8"/>
      <c r="H4" s="8"/>
      <c r="I4" s="8"/>
      <c r="J4" s="8"/>
      <c r="K4" s="8"/>
      <c r="L4" s="8"/>
    </row>
    <row r="5" spans="1:12" x14ac:dyDescent="0.3">
      <c r="A5" s="8"/>
      <c r="B5" s="8"/>
      <c r="C5" s="8"/>
      <c r="D5" s="8"/>
      <c r="E5" s="8"/>
      <c r="F5" s="8"/>
      <c r="G5" s="8"/>
      <c r="H5" s="8"/>
      <c r="I5" s="8"/>
      <c r="J5" s="8"/>
      <c r="K5" s="8"/>
      <c r="L5" s="8"/>
    </row>
    <row r="31" spans="1:12" x14ac:dyDescent="0.3">
      <c r="A31" s="8" t="s">
        <v>126</v>
      </c>
      <c r="B31" s="8"/>
      <c r="C31" s="8"/>
      <c r="D31" s="8"/>
      <c r="E31" s="8"/>
      <c r="F31" s="8"/>
      <c r="G31" s="8"/>
      <c r="H31" s="8"/>
      <c r="I31" s="8"/>
      <c r="J31" s="8"/>
      <c r="K31" s="8"/>
      <c r="L31" s="8"/>
    </row>
    <row r="32" spans="1:12" x14ac:dyDescent="0.3">
      <c r="A32" s="8"/>
      <c r="B32" s="8"/>
      <c r="C32" s="8"/>
      <c r="D32" s="8"/>
      <c r="E32" s="8"/>
      <c r="F32" s="8"/>
      <c r="G32" s="8"/>
      <c r="H32" s="8"/>
      <c r="I32" s="8"/>
      <c r="J32" s="8"/>
      <c r="K32" s="8"/>
      <c r="L32" s="8"/>
    </row>
    <row r="33" spans="1:12" x14ac:dyDescent="0.3">
      <c r="A33" s="8"/>
      <c r="B33" s="8"/>
      <c r="C33" s="8"/>
      <c r="D33" s="8"/>
      <c r="E33" s="8"/>
      <c r="F33" s="8"/>
      <c r="G33" s="8"/>
      <c r="H33" s="8"/>
      <c r="I33" s="8"/>
      <c r="J33" s="8"/>
      <c r="K33" s="8"/>
      <c r="L33" s="8"/>
    </row>
    <row r="60" spans="1:12" x14ac:dyDescent="0.3">
      <c r="A60" s="8" t="s">
        <v>127</v>
      </c>
      <c r="B60" s="8"/>
      <c r="C60" s="8"/>
      <c r="D60" s="8"/>
      <c r="E60" s="8"/>
      <c r="F60" s="8"/>
      <c r="G60" s="8"/>
      <c r="H60" s="8"/>
      <c r="I60" s="8"/>
      <c r="J60" s="8"/>
      <c r="K60" s="8"/>
      <c r="L60" s="8"/>
    </row>
    <row r="61" spans="1:12" x14ac:dyDescent="0.3">
      <c r="A61" s="8"/>
      <c r="B61" s="8"/>
      <c r="C61" s="8"/>
      <c r="D61" s="8"/>
      <c r="E61" s="8"/>
      <c r="F61" s="8"/>
      <c r="G61" s="8"/>
      <c r="H61" s="8"/>
      <c r="I61" s="8"/>
      <c r="J61" s="8"/>
      <c r="K61" s="8"/>
      <c r="L61" s="8"/>
    </row>
    <row r="62" spans="1:12" x14ac:dyDescent="0.3">
      <c r="A62" s="8"/>
      <c r="B62" s="8"/>
      <c r="C62" s="8"/>
      <c r="D62" s="8"/>
      <c r="E62" s="8"/>
      <c r="F62" s="8"/>
      <c r="G62" s="8"/>
      <c r="H62" s="8"/>
      <c r="I62" s="8"/>
      <c r="J62" s="8"/>
      <c r="K62" s="8"/>
      <c r="L62" s="8"/>
    </row>
    <row r="88" spans="1:12" x14ac:dyDescent="0.3">
      <c r="A88" s="8" t="s">
        <v>127</v>
      </c>
      <c r="B88" s="8"/>
      <c r="C88" s="8"/>
      <c r="D88" s="8"/>
      <c r="E88" s="8"/>
      <c r="F88" s="8"/>
      <c r="G88" s="8"/>
      <c r="H88" s="8"/>
      <c r="I88" s="8"/>
      <c r="J88" s="8"/>
      <c r="K88" s="8"/>
      <c r="L88" s="8"/>
    </row>
    <row r="89" spans="1:12" x14ac:dyDescent="0.3">
      <c r="A89" s="8"/>
      <c r="B89" s="8"/>
      <c r="C89" s="8"/>
      <c r="D89" s="8"/>
      <c r="E89" s="8"/>
      <c r="F89" s="8"/>
      <c r="G89" s="8"/>
      <c r="H89" s="8"/>
      <c r="I89" s="8"/>
      <c r="J89" s="8"/>
      <c r="K89" s="8"/>
      <c r="L89" s="8"/>
    </row>
    <row r="90" spans="1:12" x14ac:dyDescent="0.3">
      <c r="A90" s="8"/>
      <c r="B90" s="8"/>
      <c r="C90" s="8"/>
      <c r="D90" s="8"/>
      <c r="E90" s="8"/>
      <c r="F90" s="8"/>
      <c r="G90" s="8"/>
      <c r="H90" s="8"/>
      <c r="I90" s="8"/>
      <c r="J90" s="8"/>
      <c r="K90" s="8"/>
      <c r="L90" s="8"/>
    </row>
  </sheetData>
  <mergeCells count="5">
    <mergeCell ref="A1:K1"/>
    <mergeCell ref="A3:L5"/>
    <mergeCell ref="A31:L33"/>
    <mergeCell ref="A60:L62"/>
    <mergeCell ref="A88:L9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57765-D1D5-4029-89DF-5608276E5E0F}">
  <dimension ref="A1"/>
  <sheetViews>
    <sheetView topLeftCell="A4" workbookViewId="0">
      <selection activeCell="T13" sqref="T1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A00D-CC58-4F9A-AB56-33E0357D4ED1}">
  <dimension ref="A1:Q5"/>
  <sheetViews>
    <sheetView workbookViewId="0">
      <selection activeCell="J13" sqref="J13"/>
    </sheetView>
  </sheetViews>
  <sheetFormatPr defaultRowHeight="14.4" x14ac:dyDescent="0.3"/>
  <cols>
    <col min="1" max="16384" width="8.88671875" style="5"/>
  </cols>
  <sheetData>
    <row r="1" spans="1:17" ht="25.8" x14ac:dyDescent="0.5">
      <c r="A1" s="6" t="s">
        <v>130</v>
      </c>
      <c r="B1" s="6"/>
      <c r="C1" s="6"/>
      <c r="D1" s="6"/>
      <c r="E1" s="6"/>
      <c r="F1" s="6"/>
      <c r="G1" s="6"/>
      <c r="H1" s="6"/>
      <c r="I1" s="6"/>
      <c r="J1" s="6"/>
      <c r="K1" s="6"/>
    </row>
    <row r="3" spans="1:17" ht="33.6" customHeight="1" x14ac:dyDescent="0.3">
      <c r="A3" s="9" t="s">
        <v>128</v>
      </c>
      <c r="B3" s="9"/>
      <c r="C3" s="9"/>
      <c r="D3" s="9"/>
      <c r="E3" s="9"/>
      <c r="F3" s="9"/>
      <c r="G3" s="9"/>
      <c r="H3" s="9"/>
      <c r="I3" s="9"/>
      <c r="J3" s="9"/>
      <c r="K3" s="9"/>
      <c r="L3" s="9"/>
      <c r="M3" s="9"/>
      <c r="N3" s="9"/>
      <c r="O3" s="9"/>
      <c r="P3" s="9"/>
      <c r="Q3" s="9"/>
    </row>
    <row r="4" spans="1:17" ht="15.6" x14ac:dyDescent="0.3">
      <c r="A4" s="10"/>
      <c r="B4" s="10"/>
      <c r="C4" s="10"/>
      <c r="D4" s="10"/>
      <c r="E4" s="10"/>
      <c r="F4" s="10"/>
      <c r="G4" s="10"/>
      <c r="H4" s="10"/>
      <c r="I4" s="10"/>
      <c r="J4" s="10"/>
      <c r="K4" s="10"/>
      <c r="L4" s="10"/>
      <c r="M4" s="10"/>
      <c r="N4" s="10"/>
    </row>
    <row r="5" spans="1:17" ht="15.6" x14ac:dyDescent="0.3">
      <c r="A5" s="11" t="s">
        <v>129</v>
      </c>
      <c r="B5" s="11"/>
      <c r="C5" s="11"/>
      <c r="D5" s="11"/>
      <c r="E5" s="11"/>
      <c r="F5" s="11"/>
      <c r="G5" s="11"/>
      <c r="H5" s="11"/>
      <c r="I5" s="11"/>
      <c r="J5" s="11"/>
      <c r="K5" s="11"/>
      <c r="L5" s="11"/>
      <c r="M5" s="11"/>
      <c r="N5" s="11"/>
    </row>
  </sheetData>
  <mergeCells count="2">
    <mergeCell ref="A1:K1"/>
    <mergeCell ref="A3:Q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6BFBD4-BB39-4420-95D2-10A9370DA7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Dataset</vt:lpstr>
      <vt:lpstr>Data </vt:lpstr>
      <vt:lpstr>Data Cleaning</vt:lpstr>
      <vt:lpstr>Analysis</vt:lpstr>
      <vt:lpstr>Visualization</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dc:creator>
  <cp:lastModifiedBy>mvarun0498@outlook.com</cp:lastModifiedBy>
  <dcterms:created xsi:type="dcterms:W3CDTF">2015-06-05T18:17:20Z</dcterms:created>
  <dcterms:modified xsi:type="dcterms:W3CDTF">2026-03-18T13:24:19Z</dcterms:modified>
</cp:coreProperties>
</file>